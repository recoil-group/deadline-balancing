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mm-ammo" sheetId="1" r:id="rId5"/>
    <sheet state="visible" name="Model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Damage formula: MAX(MIN(a × distance + b, c) × d, 0). Distances and weights are on the Model sheet.</t>
      </text>
    </comment>
    <comment authorId="0" ref="AJ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Linearly interpolates effective velocity between pen_low/pen_high and clamps to those endpoints.</t>
      </text>
    </comment>
    <comment authorId="0" ref="G15">
      <text>
        <t xml:space="preserve">tracer "logic" we gotta undo this at some point</t>
      </text>
    </comment>
    <comment authorId="0" ref="G14">
      <text>
        <t xml:space="preserve">fyi all the frangibles ignore realism, they're accurate low dmg bullets ingame but irl they're inaccurate AND low damage, given they're effectively just powder</t>
      </text>
    </comment>
    <comment authorId="0" ref="M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Direct values from calibers.csv. Edit these cells on this sheet to tune the ammo model.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Damage distance weights should total 100%.</t>
      </text>
    </comment>
  </commentList>
</comments>
</file>

<file path=xl/sharedStrings.xml><?xml version="1.0" encoding="utf-8"?>
<sst xmlns="http://schemas.openxmlformats.org/spreadsheetml/2006/main" count="160" uniqueCount="113">
  <si>
    <t>10mm ammo scoring model</t>
  </si>
  <si>
    <t>Assumption</t>
  </si>
  <si>
    <t>Value</t>
  </si>
  <si>
    <t>Purpose</t>
  </si>
  <si>
    <t>glock base</t>
  </si>
  <si>
    <t>studs/s; add bullet_velocity modifier</t>
  </si>
  <si>
    <t>Damage reference</t>
  </si>
  <si>
    <t>weighted damage scores above/below this</t>
  </si>
  <si>
    <t>Velocity-drop reference</t>
  </si>
  <si>
    <t>lower is better</t>
  </si>
  <si>
    <t>Suppression reference</t>
  </si>
  <si>
    <t>higher is better</t>
  </si>
  <si>
    <t>Penetration reference</t>
  </si>
  <si>
    <t>Damage distance weights</t>
  </si>
  <si>
    <t>Distance (studs)</t>
  </si>
  <si>
    <t>Weight</t>
  </si>
  <si>
    <t>Rationale</t>
  </si>
  <si>
    <t>close</t>
  </si>
  <si>
    <t>common</t>
  </si>
  <si>
    <t>medium</t>
  </si>
  <si>
    <t>long</t>
  </si>
  <si>
    <t>very long</t>
  </si>
  <si>
    <t>upper edge</t>
  </si>
  <si>
    <t>Weight check</t>
  </si>
  <si>
    <t>balancing.csv inputs</t>
  </si>
  <si>
    <t>balancing.csv stat weights</t>
  </si>
  <si>
    <t>Stat</t>
  </si>
  <si>
    <t>calibers.csv damage inputs</t>
  </si>
  <si>
    <t>Interpretation</t>
  </si>
  <si>
    <t>ergonomics</t>
  </si>
  <si>
    <t>weight</t>
  </si>
  <si>
    <t>horizontal_recoil</t>
  </si>
  <si>
    <t>vertical_recoil</t>
  </si>
  <si>
    <t>barrel_deviation</t>
  </si>
  <si>
    <t>bullet_damage</t>
  </si>
  <si>
    <t>fractional modifier</t>
  </si>
  <si>
    <t>bullet_velocity</t>
  </si>
  <si>
    <t>calculated torso damage by range</t>
  </si>
  <si>
    <t>calibers.csv traits &amp; penetration inputs</t>
  </si>
  <si>
    <t>penetration model</t>
  </si>
  <si>
    <t>fire_rate</t>
  </si>
  <si>
    <t>source audit</t>
  </si>
  <si>
    <t>muzzle_loudness</t>
  </si>
  <si>
    <t>price</t>
  </si>
  <si>
    <t>weighted score</t>
  </si>
  <si>
    <t>excluded from performance strength</t>
  </si>
  <si>
    <t>Ammo-specific metric weights</t>
  </si>
  <si>
    <t>name</t>
  </si>
  <si>
    <t>weighted_damage</t>
  </si>
  <si>
    <t>points per damage above reference</t>
  </si>
  <si>
    <t>velocity_drop</t>
  </si>
  <si>
    <t>small effect; lower is better</t>
  </si>
  <si>
    <t>suppression</t>
  </si>
  <si>
    <t>moderate effect; higher is better</t>
  </si>
  <si>
    <t>penetration</t>
  </si>
  <si>
    <t>pretty_name</t>
  </si>
  <si>
    <t>damage_torso_a</t>
  </si>
  <si>
    <t>damage_torso_b</t>
  </si>
  <si>
    <t>damage_torso_c</t>
  </si>
  <si>
    <t>damage_torso_d</t>
  </si>
  <si>
    <t>damage_arm_d</t>
  </si>
  <si>
    <t>damage_leg_d</t>
  </si>
  <si>
    <t>damage_head_d</t>
  </si>
  <si>
    <t>damage_25</t>
  </si>
  <si>
    <t>damage_75</t>
  </si>
  <si>
    <t>damage_150</t>
  </si>
  <si>
    <t>damage_250</t>
  </si>
  <si>
    <t>damage_375</t>
  </si>
  <si>
    <t>damage_400</t>
  </si>
  <si>
    <t>damage_500</t>
  </si>
  <si>
    <t>bullet_penetration_ability</t>
  </si>
  <si>
    <t>pen_low</t>
  </si>
  <si>
    <t>pen_high</t>
  </si>
  <si>
    <t>pen_velocity_low</t>
  </si>
  <si>
    <t>pen_velocity_high</t>
  </si>
  <si>
    <t>effective_velocity</t>
  </si>
  <si>
    <t>calibers_row</t>
  </si>
  <si>
    <t>source_file</t>
  </si>
  <si>
    <t>balance_score</t>
  </si>
  <si>
    <t>damage_score</t>
  </si>
  <si>
    <t>velocity_drop_score</t>
  </si>
  <si>
    <t>suppression_score</t>
  </si>
  <si>
    <t>penetration_score</t>
  </si>
  <si>
    <t>strength</t>
  </si>
  <si>
    <t>10mm_roosevelt_umc_180gr_fmj</t>
  </si>
  <si>
    <t>10mm Roosevelt UMC 180gr FMJ</t>
  </si>
  <si>
    <t>idfk lol</t>
  </si>
  <si>
    <t>calibers.csv</t>
  </si>
  <si>
    <t>10mm_phoenix_aluminum_200gr_fmj</t>
  </si>
  <si>
    <t>10mm Phoenix Aluminum 200gr FMJ</t>
  </si>
  <si>
    <t>10mm_appalachian_silvertip_175gr_jhp</t>
  </si>
  <si>
    <t>10mm Appalachian Silvertip 175gr JHP</t>
  </si>
  <si>
    <t>10mm_freedom_civil_defense_60gr_hplf</t>
  </si>
  <si>
    <t>10mm Freedom Civil Defense 60gr HPLF</t>
  </si>
  <si>
    <t>10mm_federal_fusion_200gr_bsp</t>
  </si>
  <si>
    <t xml:space="preserve">10mm Federal Fusion 200gr BSP </t>
  </si>
  <si>
    <t>10mm_polar_cartridge_220gr_hcfp</t>
  </si>
  <si>
    <t>10mm Polar Cartridge 220gr HCFP</t>
  </si>
  <si>
    <t>10mm_copperhead_honey_badger_115gr_ehp</t>
  </si>
  <si>
    <t>10mm Copperhead Honey Badger 115gr EHP</t>
  </si>
  <si>
    <t>10mm_federal_hst_175gr_jhp</t>
  </si>
  <si>
    <t>10mm Federal HST 200gr JHP</t>
  </si>
  <si>
    <t>10mm_underworld_xtp_180gr_jhp</t>
  </si>
  <si>
    <t>10mm Underworld 180gr XTP JHP</t>
  </si>
  <si>
    <t>10mm_chicago_ammunition_220gr_rnfp</t>
  </si>
  <si>
    <t>10mm Chicago Ammunition 220gr RNFP</t>
  </si>
  <si>
    <t>10mm_hawthorne_flexlock_critical_duty_175gr_jhp_ft</t>
  </si>
  <si>
    <t>10mm Hawthorne FlexLock Critical Duty 175gr JHP-FT</t>
  </si>
  <si>
    <t>10mm_federal_premium_125gr_rht</t>
  </si>
  <si>
    <t>10mm Federal Premium 125gr RHT</t>
  </si>
  <si>
    <t>10mm_roosevelt_trailblazer_135gr_green_tracer</t>
  </si>
  <si>
    <t>10mm Roosevelt Trailblazer 135gr Green Tracer</t>
  </si>
  <si>
    <t>10mm_federal_hst_200gr_jhp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</si>
</sst>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00"/>
    <numFmt numFmtId="166" formatCode="0.0000"/>
  </numFmts>
  <fonts count="13">
    <font>
      <sz val="11.0"/>
      <color rgb="FF000000"/>
      <name val="Carlito"/>
      <scheme val="minor"/>
    </font>
    <font>
      <b/>
      <sz val="16.0"/>
      <color rgb="FFFFFFFF"/>
      <name val="Play"/>
    </font>
    <font/>
    <font>
      <sz val="10.0"/>
      <color rgb="FF1F2933"/>
      <name val="Aptos"/>
    </font>
    <font>
      <b/>
      <sz val="10.0"/>
      <color rgb="FFFFFFFF"/>
      <name val="Aptos"/>
    </font>
    <font>
      <sz val="10.0"/>
      <color rgb="FF1F2933"/>
      <name val="Arial"/>
    </font>
    <font>
      <b/>
      <sz val="10.0"/>
      <color rgb="FFFFFFFF"/>
      <name val="Carlito"/>
    </font>
    <font>
      <b/>
      <sz val="9.0"/>
      <color rgb="FFFFFFFF"/>
      <name val="Carlito"/>
    </font>
    <font>
      <sz val="10.0"/>
      <color theme="1"/>
      <name val="Carlito"/>
      <scheme val="minor"/>
    </font>
    <font>
      <sz val="10.0"/>
      <color rgb="FF1F2933"/>
      <name val="Carlito"/>
    </font>
    <font>
      <sz val="10.0"/>
      <color rgb="FFFF0000"/>
      <name val="Carlito"/>
    </font>
    <font>
      <sz val="10.0"/>
      <color rgb="FF1F2933"/>
      <name val="Carlito"/>
      <scheme val="minor"/>
    </font>
    <font>
      <color theme="1"/>
      <name val="Carlito"/>
    </font>
  </fonts>
  <fills count="15">
    <fill>
      <patternFill patternType="none"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2F6B9A"/>
        <bgColor rgb="FF2F6B9A"/>
      </patternFill>
    </fill>
    <fill>
      <patternFill patternType="solid">
        <fgColor rgb="FFEAF3F8"/>
        <bgColor rgb="FFEAF3F8"/>
      </patternFill>
    </fill>
    <fill>
      <patternFill patternType="solid">
        <fgColor rgb="FF684A86"/>
        <bgColor rgb="FF684A86"/>
      </patternFill>
    </fill>
    <fill>
      <patternFill patternType="solid">
        <fgColor rgb="FFF5F7F9"/>
        <bgColor rgb="FFF5F7F9"/>
      </patternFill>
    </fill>
    <fill>
      <patternFill patternType="solid">
        <fgColor rgb="FF385B47"/>
        <bgColor rgb="FF385B47"/>
      </patternFill>
    </fill>
    <fill>
      <patternFill patternType="solid">
        <fgColor rgb="FF9A642D"/>
        <bgColor rgb="FF9A642D"/>
      </patternFill>
    </fill>
    <fill>
      <patternFill patternType="solid">
        <fgColor rgb="FF2C6E73"/>
        <bgColor rgb="FF2C6E73"/>
      </patternFill>
    </fill>
    <fill>
      <patternFill patternType="solid">
        <fgColor rgb="FF52616B"/>
        <bgColor rgb="FF52616B"/>
      </patternFill>
    </fill>
    <fill>
      <patternFill patternType="solid">
        <fgColor rgb="FFF1ECF7"/>
        <bgColor rgb="FFF1ECF7"/>
      </patternFill>
    </fill>
    <fill>
      <patternFill patternType="solid">
        <fgColor rgb="FFFFF2CC"/>
        <bgColor rgb="FFFFF2CC"/>
      </patternFill>
    </fill>
    <fill>
      <patternFill patternType="solid">
        <fgColor rgb="FFEDF7EE"/>
        <bgColor rgb="FFEDF7EE"/>
      </patternFill>
    </fill>
    <fill>
      <patternFill patternType="solid">
        <fgColor rgb="FFFFF5D9"/>
        <bgColor rgb="FFFFF5D9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D8E0E7"/>
      </bottom>
    </border>
    <border>
      <left/>
      <right/>
      <top style="thin">
        <color rgb="FFD8E0E7"/>
      </top>
      <bottom style="thin">
        <color rgb="FFD8E0E7"/>
      </bottom>
    </border>
    <border>
      <top style="thin">
        <color rgb="FFD8E0E7"/>
      </top>
      <bottom style="thin">
        <color rgb="FFD8E0E7"/>
      </bottom>
    </border>
    <border>
      <left/>
      <top style="thin">
        <color rgb="FFD8E0E7"/>
      </top>
      <bottom style="thin">
        <color rgb="FFD8E0E7"/>
      </bottom>
    </border>
    <border>
      <right/>
      <top style="thin">
        <color rgb="FFD8E0E7"/>
      </top>
      <bottom style="thin">
        <color rgb="FFD8E0E7"/>
      </bottom>
    </border>
    <border>
      <left/>
      <right/>
      <top/>
      <bottom/>
    </border>
    <border>
      <left/>
      <right/>
      <top style="thin">
        <color rgb="FFD8E0E7"/>
      </top>
      <bottom/>
    </border>
    <border>
      <left/>
      <right/>
      <top style="thin">
        <color rgb="FFD8E0E7"/>
      </top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/>
    </xf>
    <xf borderId="5" fillId="4" fontId="5" numFmtId="0" xfId="0" applyBorder="1" applyFill="1" applyFont="1"/>
    <xf borderId="5" fillId="4" fontId="5" numFmtId="3" xfId="0" applyAlignment="1" applyBorder="1" applyFill="1" applyFont="1" applyNumberFormat="1">
      <alignment readingOrder="0"/>
    </xf>
    <xf borderId="6" fillId="0" fontId="3" numFmtId="0" xfId="0" applyBorder="1" applyFont="1"/>
    <xf borderId="5" fillId="4" fontId="3" numFmtId="0" xfId="0" applyBorder="1" applyFill="1" applyFont="1"/>
    <xf borderId="5" fillId="4" fontId="5" numFmtId="2" xfId="0" applyAlignment="1" applyBorder="1" applyFill="1" applyFont="1" applyNumberFormat="1">
      <alignment readingOrder="0"/>
    </xf>
    <xf borderId="5" fillId="4" fontId="3" numFmtId="2" xfId="0" applyBorder="1" applyFill="1" applyFont="1" applyNumberFormat="1"/>
    <xf borderId="7" fillId="5" fontId="4" numFmtId="0" xfId="0" applyBorder="1" applyFill="1" applyFont="1"/>
    <xf borderId="6" fillId="0" fontId="2" numFmtId="0" xfId="0" applyBorder="1" applyFont="1"/>
    <xf borderId="8" fillId="0" fontId="2" numFmtId="0" xfId="0" applyBorder="1" applyFont="1"/>
    <xf borderId="5" fillId="3" fontId="4" numFmtId="0" xfId="0" applyAlignment="1" applyBorder="1" applyFill="1" applyFont="1">
      <alignment horizontal="center"/>
    </xf>
    <xf borderId="5" fillId="6" fontId="3" numFmtId="0" xfId="0" applyBorder="1" applyFill="1" applyFont="1"/>
    <xf borderId="5" fillId="6" fontId="5" numFmtId="164" xfId="0" applyBorder="1" applyFill="1" applyFont="1" applyNumberFormat="1"/>
    <xf borderId="5" fillId="6" fontId="5" numFmtId="0" xfId="0" applyBorder="1" applyFill="1" applyFont="1"/>
    <xf borderId="5" fillId="6" fontId="3" numFmtId="164" xfId="0" applyBorder="1" applyFill="1" applyFont="1" applyNumberFormat="1"/>
    <xf borderId="1" fillId="3" fontId="6" numFmtId="0" xfId="0" applyAlignment="1" applyBorder="1" applyFill="1" applyFont="1">
      <alignment horizontal="center" vertical="center"/>
    </xf>
    <xf borderId="5" fillId="6" fontId="3" numFmtId="165" xfId="0" applyBorder="1" applyFill="1" applyFont="1" applyNumberFormat="1"/>
    <xf borderId="1" fillId="7" fontId="6" numFmtId="0" xfId="0" applyAlignment="1" applyBorder="1" applyFill="1" applyFont="1">
      <alignment horizontal="center" vertical="center"/>
    </xf>
    <xf borderId="9" fillId="7" fontId="6" numFmtId="0" xfId="0" applyAlignment="1" applyBorder="1" applyFill="1" applyFont="1">
      <alignment horizontal="center" vertical="center"/>
    </xf>
    <xf borderId="5" fillId="6" fontId="3" numFmtId="166" xfId="0" applyBorder="1" applyFill="1" applyFont="1" applyNumberFormat="1"/>
    <xf borderId="1" fillId="8" fontId="6" numFmtId="0" xfId="0" applyAlignment="1" applyBorder="1" applyFill="1" applyFont="1">
      <alignment horizontal="center" vertical="center"/>
    </xf>
    <xf borderId="1" fillId="9" fontId="6" numFmtId="0" xfId="0" applyAlignment="1" applyBorder="1" applyFill="1" applyFont="1">
      <alignment horizontal="center" vertical="center"/>
    </xf>
    <xf borderId="1" fillId="10" fontId="6" numFmtId="0" xfId="0" applyAlignment="1" applyBorder="1" applyFill="1" applyFont="1">
      <alignment horizontal="center" vertical="center"/>
    </xf>
    <xf borderId="5" fillId="6" fontId="5" numFmtId="165" xfId="0" applyBorder="1" applyFill="1" applyFont="1" applyNumberFormat="1"/>
    <xf borderId="1" fillId="5" fontId="6" numFmtId="0" xfId="0" applyAlignment="1" applyBorder="1" applyFill="1" applyFont="1">
      <alignment horizontal="center" vertical="center"/>
    </xf>
    <xf borderId="6" fillId="0" fontId="3" numFmtId="165" xfId="0" applyBorder="1" applyFont="1" applyNumberFormat="1"/>
    <xf borderId="5" fillId="11" fontId="3" numFmtId="0" xfId="0" applyBorder="1" applyFill="1" applyFont="1"/>
    <xf borderId="5" fillId="11" fontId="3" numFmtId="165" xfId="0" applyBorder="1" applyFill="1" applyFont="1" applyNumberFormat="1"/>
    <xf borderId="4" fillId="2" fontId="7" numFmtId="0" xfId="0" applyAlignment="1" applyBorder="1" applyFill="1" applyFont="1">
      <alignment horizontal="center" readingOrder="0" shrinkToFit="0" vertical="center" wrapText="1"/>
    </xf>
    <xf borderId="10" fillId="11" fontId="3" numFmtId="0" xfId="0" applyBorder="1" applyFill="1" applyFont="1"/>
    <xf borderId="10" fillId="11" fontId="3" numFmtId="165" xfId="0" applyBorder="1" applyFill="1" applyFont="1" applyNumberFormat="1"/>
    <xf borderId="4" fillId="2" fontId="7" numFmtId="49" xfId="0" applyAlignment="1" applyBorder="1" applyFill="1" applyFont="1" applyNumberFormat="1">
      <alignment horizontal="center" readingOrder="0" shrinkToFit="0" vertical="center" wrapText="1"/>
    </xf>
    <xf borderId="0" fillId="4" fontId="8" numFmtId="0" xfId="0" applyAlignment="1" applyFill="1" applyFont="1">
      <alignment shrinkToFit="0" vertical="bottom" wrapText="0"/>
    </xf>
    <xf borderId="0" fillId="12" fontId="8" numFmtId="0" xfId="0" applyAlignment="1" applyFill="1" applyFont="1">
      <alignment readingOrder="0" shrinkToFit="0" vertical="center" wrapText="0"/>
    </xf>
    <xf borderId="5" fillId="4" fontId="9" numFmtId="1" xfId="0" applyAlignment="1" applyBorder="1" applyFill="1" applyFont="1" applyNumberFormat="1">
      <alignment horizontal="right" shrinkToFit="0" vertical="center" wrapText="0"/>
    </xf>
    <xf borderId="5" fillId="4" fontId="9" numFmtId="2" xfId="0" applyAlignment="1" applyBorder="1" applyFill="1" applyFont="1" applyNumberFormat="1">
      <alignment horizontal="right" shrinkToFit="0" vertical="center" wrapText="0"/>
    </xf>
    <xf borderId="5" fillId="4" fontId="9" numFmtId="165" xfId="0" applyAlignment="1" applyBorder="1" applyFill="1" applyFont="1" applyNumberFormat="1">
      <alignment horizontal="right" shrinkToFit="0" vertical="center" wrapText="0"/>
    </xf>
    <xf borderId="5" fillId="4" fontId="9" numFmtId="0" xfId="0" applyAlignment="1" applyBorder="1" applyFill="1" applyFont="1">
      <alignment horizontal="right" shrinkToFit="0" vertical="center" wrapText="0"/>
    </xf>
    <xf borderId="0" fillId="4" fontId="8" numFmtId="0" xfId="0" applyAlignment="1" applyFill="1" applyFont="1">
      <alignment horizontal="right" shrinkToFit="0" vertical="bottom" wrapText="0"/>
    </xf>
    <xf borderId="0" fillId="4" fontId="8" numFmtId="0" xfId="0" applyAlignment="1" applyFill="1" applyFont="1">
      <alignment horizontal="right" shrinkToFit="0" vertical="bottom" wrapText="0"/>
    </xf>
    <xf borderId="5" fillId="13" fontId="9" numFmtId="2" xfId="0" applyAlignment="1" applyBorder="1" applyFill="1" applyFont="1" applyNumberFormat="1">
      <alignment horizontal="right" shrinkToFit="0" vertical="center" wrapText="0"/>
    </xf>
    <xf borderId="5" fillId="14" fontId="9" numFmtId="2" xfId="0" applyAlignment="1" applyBorder="1" applyFill="1" applyFont="1" applyNumberFormat="1">
      <alignment horizontal="right" readingOrder="0" shrinkToFit="0" vertical="center" wrapText="0"/>
    </xf>
    <xf borderId="11" fillId="14" fontId="9" numFmtId="2" xfId="0" applyAlignment="1" applyBorder="1" applyFill="1" applyFont="1" applyNumberFormat="1">
      <alignment horizontal="right" readingOrder="0" shrinkToFit="0" vertical="center" wrapText="0"/>
    </xf>
    <xf borderId="5" fillId="14" fontId="9" numFmtId="0" xfId="0" applyAlignment="1" applyBorder="1" applyFill="1" applyFont="1">
      <alignment horizontal="right" shrinkToFit="0" vertical="center" wrapText="0"/>
    </xf>
    <xf borderId="5" fillId="14" fontId="9" numFmtId="3" xfId="0" applyAlignment="1" applyBorder="1" applyFill="1" applyFont="1" applyNumberFormat="1">
      <alignment horizontal="right" shrinkToFit="0" vertical="center" wrapText="0"/>
    </xf>
    <xf borderId="5" fillId="13" fontId="9" numFmtId="3" xfId="0" applyAlignment="1" applyBorder="1" applyFill="1" applyFont="1" applyNumberFormat="1">
      <alignment horizontal="right" shrinkToFit="0" vertical="center" wrapText="0"/>
    </xf>
    <xf borderId="5" fillId="6" fontId="10" numFmtId="1" xfId="0" applyAlignment="1" applyBorder="1" applyFill="1" applyFont="1" applyNumberFormat="1">
      <alignment horizontal="right" readingOrder="0" shrinkToFit="0" vertical="center" wrapText="0"/>
    </xf>
    <xf borderId="5" fillId="6" fontId="9" numFmtId="0" xfId="0" applyAlignment="1" applyBorder="1" applyFill="1" applyFont="1">
      <alignment horizontal="right" shrinkToFit="0" vertical="center" wrapText="0"/>
    </xf>
    <xf borderId="5" fillId="11" fontId="9" numFmtId="2" xfId="0" applyAlignment="1" applyBorder="1" applyFill="1" applyFont="1" applyNumberFormat="1">
      <alignment horizontal="right" shrinkToFit="0" vertical="center" wrapText="0"/>
    </xf>
    <xf borderId="0" fillId="4" fontId="8" numFmtId="0" xfId="0" applyAlignment="1" applyFill="1" applyFont="1">
      <alignment readingOrder="0" shrinkToFit="0" vertical="center" wrapText="0"/>
    </xf>
    <xf borderId="5" fillId="4" fontId="9" numFmtId="2" xfId="0" applyAlignment="1" applyBorder="1" applyFill="1" applyFont="1" applyNumberFormat="1">
      <alignment horizontal="right" readingOrder="0" shrinkToFit="0" vertical="center" wrapText="0"/>
    </xf>
    <xf borderId="5" fillId="4" fontId="9" numFmtId="1" xfId="0" applyAlignment="1" applyBorder="1" applyFill="1" applyFont="1" applyNumberFormat="1">
      <alignment horizontal="right" readingOrder="0" shrinkToFit="0" vertical="center" wrapText="0"/>
    </xf>
    <xf borderId="5" fillId="4" fontId="9" numFmtId="0" xfId="0" applyAlignment="1" applyBorder="1" applyFill="1" applyFont="1">
      <alignment horizontal="right" readingOrder="0" shrinkToFit="0" vertical="center" wrapText="0"/>
    </xf>
    <xf borderId="11" fillId="13" fontId="9" numFmtId="2" xfId="0" applyAlignment="1" applyBorder="1" applyFill="1" applyFont="1" applyNumberFormat="1">
      <alignment horizontal="right" shrinkToFit="0" vertical="center" wrapText="0"/>
    </xf>
    <xf borderId="11" fillId="14" fontId="9" numFmtId="0" xfId="0" applyAlignment="1" applyBorder="1" applyFill="1" applyFont="1">
      <alignment horizontal="right" shrinkToFit="0" vertical="center" wrapText="0"/>
    </xf>
    <xf borderId="11" fillId="14" fontId="9" numFmtId="3" xfId="0" applyAlignment="1" applyBorder="1" applyFill="1" applyFont="1" applyNumberFormat="1">
      <alignment horizontal="right" shrinkToFit="0" vertical="center" wrapText="0"/>
    </xf>
    <xf borderId="11" fillId="13" fontId="9" numFmtId="3" xfId="0" applyAlignment="1" applyBorder="1" applyFill="1" applyFont="1" applyNumberFormat="1">
      <alignment horizontal="right" shrinkToFit="0" vertical="center" wrapText="0"/>
    </xf>
    <xf borderId="11" fillId="6" fontId="10" numFmtId="1" xfId="0" applyAlignment="1" applyBorder="1" applyFill="1" applyFont="1" applyNumberFormat="1">
      <alignment horizontal="right" readingOrder="0" shrinkToFit="0" vertical="center" wrapText="0"/>
    </xf>
    <xf borderId="11" fillId="6" fontId="9" numFmtId="0" xfId="0" applyAlignment="1" applyBorder="1" applyFill="1" applyFont="1">
      <alignment horizontal="right" shrinkToFit="0" vertical="center" wrapText="0"/>
    </xf>
    <xf borderId="11" fillId="11" fontId="9" numFmtId="2" xfId="0" applyAlignment="1" applyBorder="1" applyFill="1" applyFont="1" applyNumberFormat="1">
      <alignment horizontal="right" shrinkToFit="0" vertical="center" wrapText="0"/>
    </xf>
    <xf borderId="5" fillId="4" fontId="11" numFmtId="0" xfId="0" applyAlignment="1" applyBorder="1" applyFill="1" applyFont="1">
      <alignment horizontal="left" readingOrder="0" shrinkToFit="0" vertical="center" wrapText="0"/>
    </xf>
    <xf borderId="0" fillId="4" fontId="8" numFmtId="0" xfId="0" applyAlignment="1" applyFill="1" applyFont="1">
      <alignment horizontal="right" readingOrder="0" shrinkToFit="0" vertical="bottom" wrapText="0"/>
    </xf>
    <xf borderId="10" fillId="13" fontId="9" numFmtId="2" xfId="0" applyAlignment="1" applyBorder="1" applyFill="1" applyFont="1" applyNumberFormat="1">
      <alignment horizontal="right" shrinkToFit="0" vertical="center" wrapText="0"/>
    </xf>
    <xf borderId="10" fillId="13" fontId="9" numFmtId="3" xfId="0" applyAlignment="1" applyBorder="1" applyFill="1" applyFont="1" applyNumberFormat="1">
      <alignment horizontal="right" shrinkToFit="0" vertical="center" wrapText="0"/>
    </xf>
    <xf borderId="10" fillId="6" fontId="9" numFmtId="0" xfId="0" applyAlignment="1" applyBorder="1" applyFill="1" applyFont="1">
      <alignment horizontal="right" shrinkToFit="0" vertical="center" wrapText="0"/>
    </xf>
    <xf borderId="10" fillId="11" fontId="9" numFmtId="2" xfId="0" applyAlignment="1" applyBorder="1" applyFill="1" applyFont="1" applyNumberFormat="1">
      <alignment horizontal="right" shrinkToFit="0" vertical="center" wrapText="0"/>
    </xf>
    <xf borderId="0" fillId="0" fontId="12" numFmtId="0" xfId="0" applyFont="1"/>
    <xf borderId="0" fillId="0" fontId="1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156082"/>
          <bgColor rgb="FF156082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156082"/>
        </left>
        <right style="thin">
          <color rgb="FF156082"/>
        </right>
        <top style="thin">
          <color rgb="FF156082"/>
        </top>
        <bottom style="thin">
          <color rgb="FF156082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10mm-amm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AR15" displayName="AmmoChangeSheet" name="AmmoChangeSheet" id="1">
  <tableColumns count="44">
    <tableColumn name="name" id="1"/>
    <tableColumn name="pretty_name" id="2"/>
    <tableColumn name="ergonomics" id="3"/>
    <tableColumn name="weight" id="4"/>
    <tableColumn name="horizontal_recoil" id="5"/>
    <tableColumn name="vertical_recoil" id="6"/>
    <tableColumn name="barrel_deviation" id="7"/>
    <tableColumn name="bullet_damage" id="8"/>
    <tableColumn name="bullet_velocity" id="9"/>
    <tableColumn name="fire_rate" id="10"/>
    <tableColumn name="muzzle_loudness" id="11"/>
    <tableColumn name="price" id="12"/>
    <tableColumn name="damage_torso_a" id="13"/>
    <tableColumn name="damage_torso_b" id="14"/>
    <tableColumn name="damage_torso_c" id="15"/>
    <tableColumn name="damage_torso_d" id="16"/>
    <tableColumn name="damage_arm_d" id="17"/>
    <tableColumn name="damage_leg_d" id="18"/>
    <tableColumn name="damage_head_d" id="19"/>
    <tableColumn name="damage_25" id="20"/>
    <tableColumn name="damage_75" id="21"/>
    <tableColumn name="damage_150" id="22"/>
    <tableColumn name="damage_250" id="23"/>
    <tableColumn name="damage_375" id="24"/>
    <tableColumn name="damage_400" id="25"/>
    <tableColumn name="damage_500" id="26"/>
    <tableColumn name="weighted_damage" id="27"/>
    <tableColumn name="velocity_drop" id="28"/>
    <tableColumn name="suppression" id="29"/>
    <tableColumn name="bullet_penetration_ability" id="30"/>
    <tableColumn name="pen_low" id="31"/>
    <tableColumn name="pen_high" id="32"/>
    <tableColumn name="pen_velocity_low" id="33"/>
    <tableColumn name="pen_velocity_high" id="34"/>
    <tableColumn name="effective_velocity" id="35"/>
    <tableColumn name="penetration" id="36"/>
    <tableColumn name="calibers_row" id="37"/>
    <tableColumn name="source_file" id="38"/>
    <tableColumn name="balance_score" id="39"/>
    <tableColumn name="damage_score" id="40"/>
    <tableColumn name="velocity_drop_score" id="41"/>
    <tableColumn name="suppression_score" id="42"/>
    <tableColumn name="penetration_score" id="43"/>
    <tableColumn name="strength" id="44"/>
  </tableColumns>
  <tableStyleInfo name="10mm-amm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13"/>
    <col customWidth="1" min="2" max="2" width="45.63"/>
    <col customWidth="1" min="3" max="8" width="5.63"/>
    <col customWidth="1" min="9" max="9" width="8.0"/>
    <col customWidth="1" min="10" max="29" width="5.63"/>
    <col customWidth="1" min="30" max="30" width="27.13"/>
    <col customWidth="1" min="31" max="37" width="5.63"/>
    <col customWidth="1" min="38" max="38" width="9.63"/>
    <col customWidth="1" min="39" max="44" width="5.63"/>
  </cols>
  <sheetData>
    <row r="1" ht="24.0" customHeight="1">
      <c r="A1" s="20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22" t="s">
        <v>27</v>
      </c>
      <c r="N1" s="2"/>
      <c r="O1" s="2"/>
      <c r="P1" s="3"/>
      <c r="Q1" s="23"/>
      <c r="R1" s="23"/>
      <c r="S1" s="23"/>
      <c r="T1" s="25" t="s">
        <v>37</v>
      </c>
      <c r="U1" s="2"/>
      <c r="V1" s="2"/>
      <c r="W1" s="2"/>
      <c r="X1" s="2"/>
      <c r="Y1" s="2"/>
      <c r="Z1" s="2"/>
      <c r="AA1" s="3"/>
      <c r="AB1" s="22" t="s">
        <v>38</v>
      </c>
      <c r="AC1" s="2"/>
      <c r="AD1" s="2"/>
      <c r="AE1" s="2"/>
      <c r="AF1" s="2"/>
      <c r="AG1" s="2"/>
      <c r="AH1" s="3"/>
      <c r="AI1" s="26" t="s">
        <v>39</v>
      </c>
      <c r="AJ1" s="3"/>
      <c r="AK1" s="27" t="s">
        <v>41</v>
      </c>
      <c r="AL1" s="3"/>
      <c r="AM1" s="29" t="s">
        <v>44</v>
      </c>
      <c r="AN1" s="2"/>
      <c r="AO1" s="2"/>
      <c r="AP1" s="2"/>
      <c r="AQ1" s="2"/>
      <c r="AR1" s="3"/>
    </row>
    <row r="2" ht="45.75" customHeight="1">
      <c r="A2" s="33" t="s">
        <v>47</v>
      </c>
      <c r="B2" s="33" t="s">
        <v>55</v>
      </c>
      <c r="C2" s="33" t="s">
        <v>29</v>
      </c>
      <c r="D2" s="33" t="s">
        <v>30</v>
      </c>
      <c r="E2" s="33" t="s">
        <v>31</v>
      </c>
      <c r="F2" s="33" t="s">
        <v>32</v>
      </c>
      <c r="G2" s="33" t="s">
        <v>33</v>
      </c>
      <c r="H2" s="33" t="s">
        <v>34</v>
      </c>
      <c r="I2" s="33" t="s">
        <v>36</v>
      </c>
      <c r="J2" s="33" t="s">
        <v>40</v>
      </c>
      <c r="K2" s="36" t="s">
        <v>42</v>
      </c>
      <c r="L2" s="33" t="s">
        <v>43</v>
      </c>
      <c r="M2" s="33" t="s">
        <v>56</v>
      </c>
      <c r="N2" s="33" t="s">
        <v>57</v>
      </c>
      <c r="O2" s="33" t="s">
        <v>58</v>
      </c>
      <c r="P2" s="33" t="s">
        <v>59</v>
      </c>
      <c r="Q2" s="33" t="s">
        <v>60</v>
      </c>
      <c r="R2" s="33" t="s">
        <v>61</v>
      </c>
      <c r="S2" s="33" t="s">
        <v>62</v>
      </c>
      <c r="T2" s="33" t="s">
        <v>63</v>
      </c>
      <c r="U2" s="33" t="s">
        <v>64</v>
      </c>
      <c r="V2" s="33" t="s">
        <v>65</v>
      </c>
      <c r="W2" s="33" t="s">
        <v>66</v>
      </c>
      <c r="X2" s="33" t="s">
        <v>67</v>
      </c>
      <c r="Y2" s="33" t="s">
        <v>68</v>
      </c>
      <c r="Z2" s="33" t="s">
        <v>69</v>
      </c>
      <c r="AA2" s="33" t="s">
        <v>48</v>
      </c>
      <c r="AB2" s="33" t="s">
        <v>50</v>
      </c>
      <c r="AC2" s="33" t="s">
        <v>52</v>
      </c>
      <c r="AD2" s="33" t="s">
        <v>70</v>
      </c>
      <c r="AE2" s="33" t="s">
        <v>71</v>
      </c>
      <c r="AF2" s="33" t="s">
        <v>72</v>
      </c>
      <c r="AG2" s="33" t="s">
        <v>73</v>
      </c>
      <c r="AH2" s="33" t="s">
        <v>74</v>
      </c>
      <c r="AI2" s="33" t="s">
        <v>75</v>
      </c>
      <c r="AJ2" s="33" t="s">
        <v>54</v>
      </c>
      <c r="AK2" s="33" t="s">
        <v>76</v>
      </c>
      <c r="AL2" s="33" t="s">
        <v>77</v>
      </c>
      <c r="AM2" s="33" t="s">
        <v>78</v>
      </c>
      <c r="AN2" s="33" t="s">
        <v>79</v>
      </c>
      <c r="AO2" s="33" t="s">
        <v>80</v>
      </c>
      <c r="AP2" s="33" t="s">
        <v>81</v>
      </c>
      <c r="AQ2" s="33" t="s">
        <v>82</v>
      </c>
      <c r="AR2" s="33" t="s">
        <v>83</v>
      </c>
    </row>
    <row r="3" ht="14.25" customHeight="1">
      <c r="A3" s="37" t="s">
        <v>84</v>
      </c>
      <c r="B3" s="38" t="s">
        <v>85</v>
      </c>
      <c r="C3" s="39">
        <v>0.0</v>
      </c>
      <c r="D3" s="40">
        <v>0.0</v>
      </c>
      <c r="E3" s="39">
        <v>0.0</v>
      </c>
      <c r="F3" s="39">
        <v>0.0</v>
      </c>
      <c r="G3" s="40">
        <v>0.0</v>
      </c>
      <c r="H3" s="41"/>
      <c r="I3" s="39">
        <v>0.02</v>
      </c>
      <c r="J3" s="40"/>
      <c r="K3" s="42"/>
      <c r="L3" s="42">
        <v>0.0</v>
      </c>
      <c r="M3" s="43">
        <v>-0.06</v>
      </c>
      <c r="N3" s="43">
        <v>48.0</v>
      </c>
      <c r="O3" s="43">
        <v>47.0</v>
      </c>
      <c r="P3" s="43">
        <v>1.0</v>
      </c>
      <c r="Q3" s="43">
        <v>0.3</v>
      </c>
      <c r="R3" s="43">
        <v>0.5</v>
      </c>
      <c r="S3" s="44">
        <v>3.0</v>
      </c>
      <c r="T3" s="45">
        <f>MAX(MIN($M3*Model!$A$13+$N3,$O3)*$P3,0)</f>
        <v>46.5</v>
      </c>
      <c r="U3" s="45">
        <f>MAX(MIN($M3*Model!$A$14+$N3,$O3)*$P3,0)</f>
        <v>43.5</v>
      </c>
      <c r="V3" s="45">
        <f>MAX(MIN($M3*Model!$A$15+$N3,$O3)*$P3,0)</f>
        <v>39</v>
      </c>
      <c r="W3" s="45">
        <f>MAX(MIN($M3*Model!$A$16+$N3,$O3)*$P3,0)</f>
        <v>33</v>
      </c>
      <c r="X3" s="45">
        <f>MAX(MIN($M3*Model!$A$17+$N3,$O3)*$P3,0)</f>
        <v>47</v>
      </c>
      <c r="Y3" s="45">
        <f>MAX(MIN($M3*Model!$A$18+$N3,$O3)*$P3,0)</f>
        <v>47</v>
      </c>
      <c r="Z3" s="45">
        <f>MAX(MIN($M3*Model!$A$19+$N3,$O3)*$P3,0)</f>
        <v>47</v>
      </c>
      <c r="AA3" s="45">
        <f>T3*Model!$B$13+U3*Model!$B$14+V3*Model!$B$15+W3*Model!$B$16+X3*Model!$B$17+Y3*Model!$B$18+Z3*Model!$B$19</f>
        <v>41.7</v>
      </c>
      <c r="AB3" s="46">
        <v>0.45</v>
      </c>
      <c r="AC3" s="47">
        <v>0.6</v>
      </c>
      <c r="AD3" s="48" t="str">
        <f>CONCATENATE("stat(bullet_velocity;",'10mm-ammo'!$AE3,";",'10mm-ammo'!$AF3,";",'10mm-ammo'!$AG3,";",'10mm-ammo'!$AH3,")")</f>
        <v>stat(bullet_velocity;0.2;0.6;500;2000)</v>
      </c>
      <c r="AE3" s="46">
        <v>0.2</v>
      </c>
      <c r="AF3" s="46">
        <v>0.6</v>
      </c>
      <c r="AG3" s="49">
        <v>500.0</v>
      </c>
      <c r="AH3" s="49">
        <v>2000.0</v>
      </c>
      <c r="AI3" s="50">
        <f>Model!$B$4+IF(I3="",0,I3)</f>
        <v>1150.02</v>
      </c>
      <c r="AJ3" s="45">
        <f t="shared" ref="AJ3:AJ15" si="1">MAX(AE3,MIN(AF3,AE3+(AI3-AG3)*(AF3-AE3)/(AH3-AG3)))</f>
        <v>0.3733386667</v>
      </c>
      <c r="AK3" s="51" t="s">
        <v>86</v>
      </c>
      <c r="AL3" s="52" t="s">
        <v>87</v>
      </c>
      <c r="AM3" s="53">
        <f>C3*Model!$B$24+D3*Model!$B$25+E3*Model!$B$26+F3*Model!$B$27+G3*Model!$B$28+H3*Model!$B$29+I3*Model!$B$30+J3*Model!$B$31+K3*Model!$B$32+L3*Model!$B$33</f>
        <v>0.0001</v>
      </c>
      <c r="AN3" s="53">
        <f>(AA3-Model!$B$5)*Model!$B$36</f>
        <v>-12.45</v>
      </c>
      <c r="AO3" s="53">
        <f>(Model!$B$6-AB3)*Model!$B$37</f>
        <v>-0.2</v>
      </c>
      <c r="AP3" s="53">
        <f>(AC3-Model!$B$7)*Model!$B$38</f>
        <v>0.45</v>
      </c>
      <c r="AQ3" s="53">
        <f>(AJ3-Model!$B$8)*Model!$B$39</f>
        <v>0.8933546667</v>
      </c>
      <c r="AR3" s="53">
        <f t="shared" ref="AR3:AR15" si="2">SUM(AM3:AQ3)</f>
        <v>-11.30654533</v>
      </c>
    </row>
    <row r="4" ht="14.25" customHeight="1">
      <c r="A4" s="37" t="s">
        <v>88</v>
      </c>
      <c r="B4" s="54" t="s">
        <v>89</v>
      </c>
      <c r="C4" s="39">
        <v>0.0</v>
      </c>
      <c r="D4" s="55">
        <v>0.05</v>
      </c>
      <c r="E4" s="56">
        <v>-1.0</v>
      </c>
      <c r="F4" s="56">
        <v>1.0</v>
      </c>
      <c r="G4" s="55">
        <v>-0.05</v>
      </c>
      <c r="H4" s="41"/>
      <c r="I4" s="56">
        <v>-75.0</v>
      </c>
      <c r="J4" s="40"/>
      <c r="K4" s="42"/>
      <c r="L4" s="57">
        <v>500.0</v>
      </c>
      <c r="M4" s="43">
        <v>-0.058</v>
      </c>
      <c r="N4" s="43">
        <v>48.5</v>
      </c>
      <c r="O4" s="43">
        <v>47.5</v>
      </c>
      <c r="P4" s="43">
        <v>1.0</v>
      </c>
      <c r="Q4" s="43">
        <v>0.3</v>
      </c>
      <c r="R4" s="43">
        <v>0.5</v>
      </c>
      <c r="S4" s="44">
        <v>3.0</v>
      </c>
      <c r="T4" s="58">
        <f>MAX(MIN($M4*Model!$A$13+$N4,$O4)*$P4,0)</f>
        <v>47.05</v>
      </c>
      <c r="U4" s="58">
        <f>MAX(MIN($M4*Model!$A$14+$N4,$O4)*$P4,0)</f>
        <v>44.15</v>
      </c>
      <c r="V4" s="58">
        <f>MAX(MIN($M4*Model!$A$15+$N4,$O4)*$P4,0)</f>
        <v>39.8</v>
      </c>
      <c r="W4" s="58">
        <f>MAX(MIN($M4*Model!$A$16+$N4,$O4)*$P4,0)</f>
        <v>34</v>
      </c>
      <c r="X4" s="58">
        <f>MAX(MIN($M4*Model!$A$17+$N4,$O4)*$P4,0)</f>
        <v>47.5</v>
      </c>
      <c r="Y4" s="58">
        <f>MAX(MIN($M4*Model!$A$18+$N4,$O4)*$P4,0)</f>
        <v>47.5</v>
      </c>
      <c r="Z4" s="58">
        <f>MAX(MIN($M4*Model!$A$19+$N4,$O4)*$P4,0)</f>
        <v>47.5</v>
      </c>
      <c r="AA4" s="58">
        <f>T4*Model!$B$13+U4*Model!$B$14+V4*Model!$B$15+W4*Model!$B$16+X4*Model!$B$17+Y4*Model!$B$18+Z4*Model!$B$19</f>
        <v>42.41</v>
      </c>
      <c r="AB4" s="46">
        <v>0.4</v>
      </c>
      <c r="AC4" s="47">
        <v>0.65</v>
      </c>
      <c r="AD4" s="59" t="str">
        <f>CONCATENATE("stat(bullet_velocity;",'10mm-ammo'!$AE4,";",'10mm-ammo'!$AF4,";",'10mm-ammo'!$AG4,";",'10mm-ammo'!$AH4,")")</f>
        <v>stat(bullet_velocity;0.25;0.65;500;2000)</v>
      </c>
      <c r="AE4" s="46">
        <v>0.25</v>
      </c>
      <c r="AF4" s="46">
        <v>0.65</v>
      </c>
      <c r="AG4" s="60">
        <v>500.0</v>
      </c>
      <c r="AH4" s="60">
        <v>2000.0</v>
      </c>
      <c r="AI4" s="61">
        <f>Model!$B$4+IF(I4="",0,I4)</f>
        <v>1075</v>
      </c>
      <c r="AJ4" s="58">
        <f t="shared" si="1"/>
        <v>0.4033333333</v>
      </c>
      <c r="AK4" s="62" t="s">
        <v>86</v>
      </c>
      <c r="AL4" s="63" t="s">
        <v>87</v>
      </c>
      <c r="AM4" s="64">
        <f>C4*Model!$B$24+D4*Model!$B$25+E4*Model!$B$26+F4*Model!$B$27+G4*Model!$B$28+H4*Model!$B$29+I4*Model!$B$30+J4*Model!$B$31+K4*Model!$B$32+L4*Model!$B$33</f>
        <v>-0.675</v>
      </c>
      <c r="AN4" s="64">
        <f>(AA4-Model!$B$5)*Model!$B$36</f>
        <v>-11.385</v>
      </c>
      <c r="AO4" s="64">
        <f>(Model!$B$6-AB4)*Model!$B$37</f>
        <v>-0.3</v>
      </c>
      <c r="AP4" s="64">
        <f>(AC4-Model!$B$7)*Model!$B$38</f>
        <v>0.6</v>
      </c>
      <c r="AQ4" s="64">
        <f>(AJ4-Model!$B$8)*Model!$B$39</f>
        <v>1.013333333</v>
      </c>
      <c r="AR4" s="64">
        <f t="shared" si="2"/>
        <v>-10.74666667</v>
      </c>
    </row>
    <row r="5" ht="14.25" customHeight="1">
      <c r="A5" s="54" t="s">
        <v>90</v>
      </c>
      <c r="B5" s="54" t="s">
        <v>91</v>
      </c>
      <c r="C5" s="56">
        <v>-1.0</v>
      </c>
      <c r="D5" s="55">
        <v>-0.02</v>
      </c>
      <c r="E5" s="56">
        <v>3.0</v>
      </c>
      <c r="F5" s="56">
        <v>4.0</v>
      </c>
      <c r="G5" s="55">
        <v>0.05</v>
      </c>
      <c r="H5" s="41"/>
      <c r="I5" s="56">
        <v>50.0</v>
      </c>
      <c r="J5" s="40"/>
      <c r="K5" s="42"/>
      <c r="L5" s="57">
        <v>2000.0</v>
      </c>
      <c r="M5" s="43">
        <v>-0.094</v>
      </c>
      <c r="N5" s="43">
        <v>52.5</v>
      </c>
      <c r="O5" s="43">
        <v>52.0</v>
      </c>
      <c r="P5" s="43">
        <v>1.0</v>
      </c>
      <c r="Q5" s="43">
        <v>0.35</v>
      </c>
      <c r="R5" s="43">
        <v>0.55</v>
      </c>
      <c r="S5" s="44">
        <v>3.0</v>
      </c>
      <c r="T5" s="45">
        <f>MAX(MIN($M5*Model!$A$13+$N5,$O5)*$P5,0)</f>
        <v>50.15</v>
      </c>
      <c r="U5" s="45">
        <f>MAX(MIN($M5*Model!$A$14+$N5,$O5)*$P5,0)</f>
        <v>45.45</v>
      </c>
      <c r="V5" s="45">
        <f>MAX(MIN($M5*Model!$A$15+$N5,$O5)*$P5,0)</f>
        <v>38.4</v>
      </c>
      <c r="W5" s="45">
        <f>MAX(MIN($M5*Model!$A$16+$N5,$O5)*$P5,0)</f>
        <v>29</v>
      </c>
      <c r="X5" s="45">
        <f>MAX(MIN($M5*Model!$A$17+$N5,$O5)*$P5,0)</f>
        <v>52</v>
      </c>
      <c r="Y5" s="45">
        <f>MAX(MIN($M5*Model!$A$18+$N5,$O5)*$P5,0)</f>
        <v>52</v>
      </c>
      <c r="Z5" s="45">
        <f>MAX(MIN($M5*Model!$A$19+$N5,$O5)*$P5,0)</f>
        <v>52</v>
      </c>
      <c r="AA5" s="45">
        <f>T5*Model!$B$13+U5*Model!$B$14+V5*Model!$B$15+W5*Model!$B$16+X5*Model!$B$17+Y5*Model!$B$18+Z5*Model!$B$19</f>
        <v>42.63</v>
      </c>
      <c r="AB5" s="46">
        <v>0.45</v>
      </c>
      <c r="AC5" s="47">
        <v>0.6</v>
      </c>
      <c r="AD5" s="48" t="str">
        <f>CONCATENATE("stat(bullet_velocity;",'10mm-ammo'!$AE5,";",'10mm-ammo'!$AF5,";",'10mm-ammo'!$AG5,";",'10mm-ammo'!$AH5,")")</f>
        <v>stat(bullet_velocity;0.05;0.25;500;2000)</v>
      </c>
      <c r="AE5" s="46">
        <v>0.05</v>
      </c>
      <c r="AF5" s="46">
        <v>0.25</v>
      </c>
      <c r="AG5" s="49">
        <v>500.0</v>
      </c>
      <c r="AH5" s="49">
        <v>2000.0</v>
      </c>
      <c r="AI5" s="50">
        <f>Model!$B$4+IF(I5="",0,I5)</f>
        <v>1200</v>
      </c>
      <c r="AJ5" s="45">
        <f t="shared" si="1"/>
        <v>0.1433333333</v>
      </c>
      <c r="AK5" s="51" t="s">
        <v>86</v>
      </c>
      <c r="AL5" s="52" t="s">
        <v>87</v>
      </c>
      <c r="AM5" s="53">
        <f>C5*Model!$B$24+D5*Model!$B$25+E5*Model!$B$26+F5*Model!$B$27+G5*Model!$B$28+H5*Model!$B$29+I5*Model!$B$30+J5*Model!$B$31+K5*Model!$B$32+L5*Model!$B$33</f>
        <v>-5.65</v>
      </c>
      <c r="AN5" s="53">
        <f>(AA5-Model!$B$5)*Model!$B$36</f>
        <v>-11.055</v>
      </c>
      <c r="AO5" s="53">
        <f>(Model!$B$6-AB5)*Model!$B$37</f>
        <v>-0.2</v>
      </c>
      <c r="AP5" s="53">
        <f>(AC5-Model!$B$7)*Model!$B$38</f>
        <v>0.45</v>
      </c>
      <c r="AQ5" s="53">
        <f>(AJ5-Model!$B$8)*Model!$B$39</f>
        <v>-0.02666666667</v>
      </c>
      <c r="AR5" s="53">
        <f t="shared" si="2"/>
        <v>-16.48166667</v>
      </c>
    </row>
    <row r="6" ht="14.25" customHeight="1">
      <c r="A6" s="54" t="s">
        <v>92</v>
      </c>
      <c r="B6" s="54" t="s">
        <v>93</v>
      </c>
      <c r="C6" s="56">
        <v>-2.0</v>
      </c>
      <c r="D6" s="55">
        <v>-0.16</v>
      </c>
      <c r="E6" s="56">
        <v>-2.0</v>
      </c>
      <c r="F6" s="56">
        <v>-3.0</v>
      </c>
      <c r="G6" s="55">
        <v>0.1</v>
      </c>
      <c r="H6" s="41"/>
      <c r="I6" s="56">
        <v>600.0</v>
      </c>
      <c r="J6" s="40"/>
      <c r="K6" s="42"/>
      <c r="L6" s="57">
        <v>2500.0</v>
      </c>
      <c r="M6" s="43">
        <v>-0.086</v>
      </c>
      <c r="N6" s="43">
        <v>51.5</v>
      </c>
      <c r="O6" s="43">
        <v>52.5</v>
      </c>
      <c r="P6" s="43">
        <v>1.0</v>
      </c>
      <c r="Q6" s="43">
        <v>0.35</v>
      </c>
      <c r="R6" s="43">
        <v>0.55</v>
      </c>
      <c r="S6" s="44">
        <v>3.0</v>
      </c>
      <c r="T6" s="45">
        <f>MAX(MIN($M6*Model!$A$13+$N6,$O6)*$P6,0)</f>
        <v>49.35</v>
      </c>
      <c r="U6" s="45">
        <f>MAX(MIN($M6*Model!$A$14+$N6,$O6)*$P6,0)</f>
        <v>45.05</v>
      </c>
      <c r="V6" s="45">
        <f>MAX(MIN($M6*Model!$A$15+$N6,$O6)*$P6,0)</f>
        <v>38.6</v>
      </c>
      <c r="W6" s="45">
        <f>MAX(MIN($M6*Model!$A$16+$N6,$O6)*$P6,0)</f>
        <v>30</v>
      </c>
      <c r="X6" s="45">
        <f>MAX(MIN($M6*Model!$A$17+$N6,$O6)*$P6,0)</f>
        <v>51.5</v>
      </c>
      <c r="Y6" s="45">
        <f>MAX(MIN($M6*Model!$A$18+$N6,$O6)*$P6,0)</f>
        <v>51.5</v>
      </c>
      <c r="Z6" s="45">
        <f>MAX(MIN($M6*Model!$A$19+$N6,$O6)*$P6,0)</f>
        <v>51.5</v>
      </c>
      <c r="AA6" s="45">
        <f>T6*Model!$B$13+U6*Model!$B$14+V6*Model!$B$15+W6*Model!$B$16+X6*Model!$B$17+Y6*Model!$B$18+Z6*Model!$B$19</f>
        <v>42.47</v>
      </c>
      <c r="AB6" s="46">
        <v>0.65</v>
      </c>
      <c r="AC6" s="47">
        <v>0.45</v>
      </c>
      <c r="AD6" s="48" t="str">
        <f>CONCATENATE("stat(bullet_velocity;",'10mm-ammo'!$AE6,";",'10mm-ammo'!$AF6,";",'10mm-ammo'!$AG6,";",'10mm-ammo'!$AH6,")")</f>
        <v>stat(bullet_velocity;0.05;0.3;500;2000)</v>
      </c>
      <c r="AE6" s="46">
        <v>0.05</v>
      </c>
      <c r="AF6" s="46">
        <v>0.3</v>
      </c>
      <c r="AG6" s="49">
        <v>500.0</v>
      </c>
      <c r="AH6" s="49">
        <v>2000.0</v>
      </c>
      <c r="AI6" s="50">
        <f>Model!$B$4+IF(I6="",0,I6)</f>
        <v>1750</v>
      </c>
      <c r="AJ6" s="45">
        <f t="shared" si="1"/>
        <v>0.2583333333</v>
      </c>
      <c r="AK6" s="51" t="s">
        <v>86</v>
      </c>
      <c r="AL6" s="52" t="s">
        <v>87</v>
      </c>
      <c r="AM6" s="53">
        <f>C6*Model!$B$24+D6*Model!$B$25+E6*Model!$B$26+F6*Model!$B$27+G6*Model!$B$28+H6*Model!$B$29+I6*Model!$B$30+J6*Model!$B$31+K6*Model!$B$32+L6*Model!$B$33</f>
        <v>6.6</v>
      </c>
      <c r="AN6" s="53">
        <f>(AA6-Model!$B$5)*Model!$B$36</f>
        <v>-11.295</v>
      </c>
      <c r="AO6" s="53">
        <f>(Model!$B$6-AB6)*Model!$B$37</f>
        <v>0.2</v>
      </c>
      <c r="AP6" s="53">
        <f>(AC6-Model!$B$7)*Model!$B$38</f>
        <v>0</v>
      </c>
      <c r="AQ6" s="53">
        <f>(AJ6-Model!$B$8)*Model!$B$39</f>
        <v>0.4333333333</v>
      </c>
      <c r="AR6" s="53">
        <f t="shared" si="2"/>
        <v>-4.061666667</v>
      </c>
    </row>
    <row r="7" ht="14.25" customHeight="1">
      <c r="A7" s="54" t="s">
        <v>94</v>
      </c>
      <c r="B7" s="65" t="s">
        <v>95</v>
      </c>
      <c r="C7" s="39">
        <v>0.0</v>
      </c>
      <c r="D7" s="55">
        <v>0.05</v>
      </c>
      <c r="E7" s="56">
        <v>2.0</v>
      </c>
      <c r="F7" s="56">
        <v>2.0</v>
      </c>
      <c r="G7" s="55">
        <v>0.05</v>
      </c>
      <c r="H7" s="41"/>
      <c r="I7" s="56">
        <v>-50.0</v>
      </c>
      <c r="J7" s="40"/>
      <c r="K7" s="42"/>
      <c r="L7" s="57">
        <v>2500.0</v>
      </c>
      <c r="M7" s="44">
        <v>-0.08</v>
      </c>
      <c r="N7" s="43">
        <v>51.5</v>
      </c>
      <c r="O7" s="43">
        <v>51.5</v>
      </c>
      <c r="P7" s="43">
        <v>1.0</v>
      </c>
      <c r="Q7" s="43">
        <v>0.35</v>
      </c>
      <c r="R7" s="43">
        <v>0.55</v>
      </c>
      <c r="S7" s="44">
        <v>3.0</v>
      </c>
      <c r="T7" s="45">
        <f>MAX(MIN($M7*Model!$A$13+$N7,$O7)*$P7,0)</f>
        <v>49.5</v>
      </c>
      <c r="U7" s="45">
        <f>MAX(MIN($M7*Model!$A$14+$N7,$O7)*$P7,0)</f>
        <v>45.5</v>
      </c>
      <c r="V7" s="45">
        <f>MAX(MIN($M7*Model!$A$15+$N7,$O7)*$P7,0)</f>
        <v>39.5</v>
      </c>
      <c r="W7" s="45">
        <f>MAX(MIN($M7*Model!$A$16+$N7,$O7)*$P7,0)</f>
        <v>31.5</v>
      </c>
      <c r="X7" s="45">
        <f>MAX(MIN($M7*Model!$A$17+$N7,$O7)*$P7,0)</f>
        <v>51.5</v>
      </c>
      <c r="Y7" s="45">
        <f>MAX(MIN($M7*Model!$A$18+$N7,$O7)*$P7,0)</f>
        <v>51.5</v>
      </c>
      <c r="Z7" s="45">
        <f>MAX(MIN($M7*Model!$A$19+$N7,$O7)*$P7,0)</f>
        <v>51.5</v>
      </c>
      <c r="AA7" s="45">
        <f>T7*Model!$B$13+U7*Model!$B$14+V7*Model!$B$15+W7*Model!$B$16+X7*Model!$B$17+Y7*Model!$B$18+Z7*Model!$B$19</f>
        <v>43.1</v>
      </c>
      <c r="AB7" s="46">
        <v>0.5</v>
      </c>
      <c r="AC7" s="47">
        <v>0.65</v>
      </c>
      <c r="AD7" s="48" t="str">
        <f>CONCATENATE("stat(bullet_velocity;",'10mm-ammo'!$AE7,";",'10mm-ammo'!$AF7,";",'10mm-ammo'!$AG7,";",'10mm-ammo'!$AH7,")")</f>
        <v>stat(bullet_velocity;0.1;0.35;500;2000)</v>
      </c>
      <c r="AE7" s="46">
        <v>0.1</v>
      </c>
      <c r="AF7" s="46">
        <v>0.35</v>
      </c>
      <c r="AG7" s="49">
        <v>500.0</v>
      </c>
      <c r="AH7" s="49">
        <v>2000.0</v>
      </c>
      <c r="AI7" s="50">
        <f>Model!$B$4+IF(I7="",0,I7)</f>
        <v>1100</v>
      </c>
      <c r="AJ7" s="45">
        <f t="shared" si="1"/>
        <v>0.2</v>
      </c>
      <c r="AK7" s="51" t="s">
        <v>86</v>
      </c>
      <c r="AL7" s="52" t="s">
        <v>87</v>
      </c>
      <c r="AM7" s="53">
        <f>C7*Model!$B$24+D7*Model!$B$25+E7*Model!$B$26+F7*Model!$B$27+G7*Model!$B$28+H7*Model!$B$29+I7*Model!$B$30+J7*Model!$B$31+K7*Model!$B$32+L7*Model!$B$33</f>
        <v>-4.55</v>
      </c>
      <c r="AN7" s="53">
        <f>(AA7-Model!$B$5)*Model!$B$36</f>
        <v>-10.35</v>
      </c>
      <c r="AO7" s="53">
        <f>(Model!$B$6-AB7)*Model!$B$37</f>
        <v>-0.1</v>
      </c>
      <c r="AP7" s="53">
        <f>(AC7-Model!$B$7)*Model!$B$38</f>
        <v>0.6</v>
      </c>
      <c r="AQ7" s="53">
        <f>(AJ7-Model!$B$8)*Model!$B$39</f>
        <v>0.2</v>
      </c>
      <c r="AR7" s="53">
        <f t="shared" si="2"/>
        <v>-14.2</v>
      </c>
    </row>
    <row r="8" ht="14.25" customHeight="1">
      <c r="A8" s="54" t="s">
        <v>96</v>
      </c>
      <c r="B8" s="54" t="s">
        <v>97</v>
      </c>
      <c r="C8" s="56">
        <v>-3.0</v>
      </c>
      <c r="D8" s="55">
        <v>0.11</v>
      </c>
      <c r="E8" s="56">
        <v>3.0</v>
      </c>
      <c r="F8" s="56">
        <v>5.0</v>
      </c>
      <c r="G8" s="55">
        <v>0.05</v>
      </c>
      <c r="H8" s="41"/>
      <c r="I8" s="39">
        <v>0.02</v>
      </c>
      <c r="J8" s="40"/>
      <c r="K8" s="42"/>
      <c r="L8" s="57">
        <v>3250.0</v>
      </c>
      <c r="M8" s="66">
        <v>-0.084</v>
      </c>
      <c r="N8" s="66">
        <v>52.0</v>
      </c>
      <c r="O8" s="66">
        <v>50.0</v>
      </c>
      <c r="P8" s="43">
        <v>1.0</v>
      </c>
      <c r="Q8" s="43">
        <v>0.3</v>
      </c>
      <c r="R8" s="43">
        <v>0.3</v>
      </c>
      <c r="S8" s="44">
        <v>3.0</v>
      </c>
      <c r="T8" s="45">
        <f>MAX(MIN($M8*Model!$A$13+$N8,$O8)*$P8,0)</f>
        <v>49.9</v>
      </c>
      <c r="U8" s="45">
        <f>MAX(MIN($M8*Model!$A$14+$N8,$O8)*$P8,0)</f>
        <v>45.7</v>
      </c>
      <c r="V8" s="45">
        <f>MAX(MIN($M8*Model!$A$15+$N8,$O8)*$P8,0)</f>
        <v>39.4</v>
      </c>
      <c r="W8" s="45">
        <f>MAX(MIN($M8*Model!$A$16+$N8,$O8)*$P8,0)</f>
        <v>31</v>
      </c>
      <c r="X8" s="45">
        <f>MAX(MIN($M8*Model!$A$17+$N8,$O8)*$P8,0)</f>
        <v>50</v>
      </c>
      <c r="Y8" s="45">
        <f>MAX(MIN($M8*Model!$A$18+$N8,$O8)*$P8,0)</f>
        <v>50</v>
      </c>
      <c r="Z8" s="45">
        <f>MAX(MIN($M8*Model!$A$19+$N8,$O8)*$P8,0)</f>
        <v>50</v>
      </c>
      <c r="AA8" s="45">
        <f>T8*Model!$B$13+U8*Model!$B$14+V8*Model!$B$15+W8*Model!$B$16+X8*Model!$B$17+Y8*Model!$B$18+Z8*Model!$B$19</f>
        <v>43.18</v>
      </c>
      <c r="AB8" s="46">
        <v>0.55</v>
      </c>
      <c r="AC8" s="47">
        <v>0.7</v>
      </c>
      <c r="AD8" s="48" t="str">
        <f>CONCATENATE("stat(bullet_velocity;",'10mm-ammo'!$AE8,";",'10mm-ammo'!$AF8,";",'10mm-ammo'!$AG8,";",'10mm-ammo'!$AH8,")")</f>
        <v>stat(bullet_velocity;0.3;0.7;500;2000)</v>
      </c>
      <c r="AE8" s="46">
        <v>0.3</v>
      </c>
      <c r="AF8" s="46">
        <v>0.7</v>
      </c>
      <c r="AG8" s="49">
        <v>500.0</v>
      </c>
      <c r="AH8" s="49">
        <v>2000.0</v>
      </c>
      <c r="AI8" s="50">
        <f>Model!$B$4+IF(I8="",0,I8)</f>
        <v>1150.02</v>
      </c>
      <c r="AJ8" s="45">
        <f t="shared" si="1"/>
        <v>0.4733386667</v>
      </c>
      <c r="AK8" s="51" t="s">
        <v>86</v>
      </c>
      <c r="AL8" s="52" t="s">
        <v>87</v>
      </c>
      <c r="AM8" s="53">
        <f>C8*Model!$B$24+D8*Model!$B$25+E8*Model!$B$26+F8*Model!$B$27+G8*Model!$B$28+H8*Model!$B$29+I8*Model!$B$30+J8*Model!$B$31+K8*Model!$B$32+L8*Model!$B$33</f>
        <v>-11.0999</v>
      </c>
      <c r="AN8" s="53">
        <f>(AA8-Model!$B$5)*Model!$B$36</f>
        <v>-10.23</v>
      </c>
      <c r="AO8" s="53">
        <f>(Model!$B$6-AB8)*Model!$B$37</f>
        <v>0</v>
      </c>
      <c r="AP8" s="53">
        <f>(AC8-Model!$B$7)*Model!$B$38</f>
        <v>0.75</v>
      </c>
      <c r="AQ8" s="53">
        <f>(AJ8-Model!$B$8)*Model!$B$39</f>
        <v>1.293354667</v>
      </c>
      <c r="AR8" s="53">
        <f t="shared" si="2"/>
        <v>-19.28654533</v>
      </c>
    </row>
    <row r="9" ht="14.25" customHeight="1">
      <c r="A9" s="54" t="s">
        <v>98</v>
      </c>
      <c r="B9" s="54" t="s">
        <v>99</v>
      </c>
      <c r="C9" s="56">
        <v>-1.0</v>
      </c>
      <c r="D9" s="55">
        <v>-0.13</v>
      </c>
      <c r="E9" s="56">
        <v>-1.0</v>
      </c>
      <c r="F9" s="56">
        <v>-2.0</v>
      </c>
      <c r="G9" s="55">
        <v>0.0</v>
      </c>
      <c r="H9" s="41"/>
      <c r="I9" s="56">
        <v>125.0</v>
      </c>
      <c r="J9" s="40"/>
      <c r="K9" s="42"/>
      <c r="L9" s="57">
        <v>2000.0</v>
      </c>
      <c r="M9" s="43">
        <v>-0.072</v>
      </c>
      <c r="N9" s="43">
        <v>49.0</v>
      </c>
      <c r="O9" s="43">
        <v>48.5</v>
      </c>
      <c r="P9" s="43">
        <v>1.0</v>
      </c>
      <c r="Q9" s="43">
        <v>0.35</v>
      </c>
      <c r="R9" s="43">
        <v>0.55</v>
      </c>
      <c r="S9" s="44">
        <v>3.0</v>
      </c>
      <c r="T9" s="67">
        <f>MAX(MIN($M9*Model!$A$13+$N9,$O9)*$P9,0)</f>
        <v>47.2</v>
      </c>
      <c r="U9" s="67">
        <f>MAX(MIN($M9*Model!$A$14+$N9,$O9)*$P9,0)</f>
        <v>43.6</v>
      </c>
      <c r="V9" s="67">
        <f>MAX(MIN($M9*Model!$A$15+$N9,$O9)*$P9,0)</f>
        <v>38.2</v>
      </c>
      <c r="W9" s="67">
        <f>MAX(MIN($M9*Model!$A$16+$N9,$O9)*$P9,0)</f>
        <v>31</v>
      </c>
      <c r="X9" s="67">
        <f>MAX(MIN($M9*Model!$A$17+$N9,$O9)*$P9,0)</f>
        <v>48.5</v>
      </c>
      <c r="Y9" s="67">
        <f>MAX(MIN($M9*Model!$A$18+$N9,$O9)*$P9,0)</f>
        <v>48.5</v>
      </c>
      <c r="Z9" s="67">
        <f>MAX(MIN($M9*Model!$A$19+$N9,$O9)*$P9,0)</f>
        <v>48.5</v>
      </c>
      <c r="AA9" s="67">
        <f>T9*Model!$B$13+U9*Model!$B$14+V9*Model!$B$15+W9*Model!$B$16+X9*Model!$B$17+Y9*Model!$B$18+Z9*Model!$B$19</f>
        <v>41.44</v>
      </c>
      <c r="AB9" s="46">
        <v>0.4</v>
      </c>
      <c r="AC9" s="47">
        <v>0.55</v>
      </c>
      <c r="AD9" s="48" t="str">
        <f>CONCATENATE("stat(bullet_velocity;",'10mm-ammo'!$AE9,";",'10mm-ammo'!$AF9,";",'10mm-ammo'!$AG9,";",'10mm-ammo'!$AH9,")")</f>
        <v>stat(bullet_velocity;0;0.25;500;2000)</v>
      </c>
      <c r="AE9" s="46">
        <v>0.0</v>
      </c>
      <c r="AF9" s="46">
        <v>0.25</v>
      </c>
      <c r="AG9" s="49">
        <v>500.0</v>
      </c>
      <c r="AH9" s="49">
        <v>2000.0</v>
      </c>
      <c r="AI9" s="68">
        <f>Model!$B$4+IF(I9="",0,I9)</f>
        <v>1275</v>
      </c>
      <c r="AJ9" s="67">
        <f t="shared" si="1"/>
        <v>0.1291666667</v>
      </c>
      <c r="AK9" s="51" t="s">
        <v>86</v>
      </c>
      <c r="AL9" s="69" t="s">
        <v>87</v>
      </c>
      <c r="AM9" s="53">
        <f>C9*Model!$B$24+D9*Model!$B$25+E9*Model!$B$26+F9*Model!$B$27+G9*Model!$B$28+H9*Model!$B$29+I9*Model!$B$30+J9*Model!$B$31+K9*Model!$B$32+L9*Model!$B$33</f>
        <v>4.225</v>
      </c>
      <c r="AN9" s="70">
        <f>(AA9-Model!$B$5)*Model!$B$36</f>
        <v>-12.84</v>
      </c>
      <c r="AO9" s="70">
        <f>(Model!$B$6-AB9)*Model!$B$37</f>
        <v>-0.3</v>
      </c>
      <c r="AP9" s="70">
        <f>(AC9-Model!$B$7)*Model!$B$38</f>
        <v>0.3</v>
      </c>
      <c r="AQ9" s="70">
        <f>(AJ9-Model!$B$8)*Model!$B$39</f>
        <v>-0.08333333333</v>
      </c>
      <c r="AR9" s="70">
        <f t="shared" si="2"/>
        <v>-8.698333333</v>
      </c>
    </row>
    <row r="10" ht="14.25" customHeight="1">
      <c r="A10" s="54" t="s">
        <v>112</v>
      </c>
      <c r="B10" s="54" t="s">
        <v>101</v>
      </c>
      <c r="C10" s="56">
        <v>-2.0</v>
      </c>
      <c r="D10" s="55">
        <v>0.05</v>
      </c>
      <c r="E10" s="56">
        <v>4.0</v>
      </c>
      <c r="F10" s="56">
        <v>5.0</v>
      </c>
      <c r="G10" s="55">
        <v>0.05</v>
      </c>
      <c r="H10" s="41"/>
      <c r="I10" s="56">
        <v>-50.0</v>
      </c>
      <c r="J10" s="40"/>
      <c r="K10" s="42"/>
      <c r="L10" s="57">
        <v>4000.0</v>
      </c>
      <c r="M10" s="43">
        <v>-0.1</v>
      </c>
      <c r="N10" s="66">
        <v>56.0</v>
      </c>
      <c r="O10" s="66">
        <v>55.0</v>
      </c>
      <c r="P10" s="43">
        <v>1.0</v>
      </c>
      <c r="Q10" s="44">
        <v>0.4</v>
      </c>
      <c r="R10" s="44">
        <v>0.6</v>
      </c>
      <c r="S10" s="44">
        <v>3.0</v>
      </c>
      <c r="T10" s="45">
        <f>MAX(MIN($M10*Model!$A$13+$N10,$O10)*$P10,0)</f>
        <v>53.5</v>
      </c>
      <c r="U10" s="45">
        <f>MAX(MIN($M10*Model!$A$14+$N10,$O10)*$P10,0)</f>
        <v>48.5</v>
      </c>
      <c r="V10" s="45">
        <f>MAX(MIN($M10*Model!$A$15+$N10,$O10)*$P10,0)</f>
        <v>41</v>
      </c>
      <c r="W10" s="45">
        <f>MAX(MIN($M10*Model!$A$16+$N10,$O10)*$P10,0)</f>
        <v>31</v>
      </c>
      <c r="X10" s="45">
        <f>MAX(MIN($M10*Model!$A$17+$N10,$O10)*$P10,0)</f>
        <v>55</v>
      </c>
      <c r="Y10" s="45">
        <f>MAX(MIN($M10*Model!$A$18+$N10,$O10)*$P10,0)</f>
        <v>55</v>
      </c>
      <c r="Z10" s="45">
        <f>MAX(MIN($M10*Model!$A$19+$N10,$O10)*$P10,0)</f>
        <v>55</v>
      </c>
      <c r="AA10" s="45">
        <f>T10*Model!$B$13+U10*Model!$B$14+V10*Model!$B$15+W10*Model!$B$16+X10*Model!$B$17+Y10*Model!$B$18+Z10*Model!$B$19</f>
        <v>45.5</v>
      </c>
      <c r="AB10" s="46">
        <v>0.55</v>
      </c>
      <c r="AC10" s="47">
        <v>0.5</v>
      </c>
      <c r="AD10" s="48" t="str">
        <f>CONCATENATE("stat(bullet_velocity;",'10mm-ammo'!$AE10,";",'10mm-ammo'!$AF10,";",'10mm-ammo'!$AG10,";",'10mm-ammo'!$AH10,")")</f>
        <v>stat(bullet_velocity;0.05;0.3;500;2000)</v>
      </c>
      <c r="AE10" s="46">
        <v>0.05</v>
      </c>
      <c r="AF10" s="46">
        <v>0.3</v>
      </c>
      <c r="AG10" s="49">
        <v>500.0</v>
      </c>
      <c r="AH10" s="49">
        <v>2000.0</v>
      </c>
      <c r="AI10" s="50">
        <f>Model!$B$4+IF(I10="",0,I10)</f>
        <v>1100</v>
      </c>
      <c r="AJ10" s="45">
        <f t="shared" si="1"/>
        <v>0.15</v>
      </c>
      <c r="AK10" s="51" t="s">
        <v>86</v>
      </c>
      <c r="AL10" s="52" t="s">
        <v>87</v>
      </c>
      <c r="AM10" s="53" t="str">
        <f>C10*Model!$B$24+D10*Model!$B$25+E10*Model!$B$26+F10*Model!$B$27+#REF!*Model!$B$28+G10*Model!$B$29+I10*Model!$B$30+J10*Model!$B$31+K10*Model!$B$32+L10*Model!$B$33</f>
        <v>#REF!</v>
      </c>
      <c r="AN10" s="53">
        <f>(AA10-Model!$B$5)*Model!$B$36</f>
        <v>-6.75</v>
      </c>
      <c r="AO10" s="53">
        <f>(Model!$B$6-AB10)*Model!$B$37</f>
        <v>0</v>
      </c>
      <c r="AP10" s="53">
        <f>(AC10-Model!$B$7)*Model!$B$38</f>
        <v>0.15</v>
      </c>
      <c r="AQ10" s="53">
        <f>(AJ10-Model!$B$8)*Model!$B$39</f>
        <v>0</v>
      </c>
      <c r="AR10" s="53" t="str">
        <f t="shared" si="2"/>
        <v>#REF!</v>
      </c>
    </row>
    <row r="11" ht="14.25" customHeight="1">
      <c r="A11" s="54" t="s">
        <v>102</v>
      </c>
      <c r="B11" s="54" t="s">
        <v>103</v>
      </c>
      <c r="C11" s="56">
        <v>-2.0</v>
      </c>
      <c r="D11" s="40">
        <v>0.0</v>
      </c>
      <c r="E11" s="56">
        <v>3.0</v>
      </c>
      <c r="F11" s="56">
        <v>4.0</v>
      </c>
      <c r="G11" s="55">
        <v>0.05</v>
      </c>
      <c r="H11" s="41"/>
      <c r="I11" s="56">
        <v>50.0</v>
      </c>
      <c r="J11" s="40"/>
      <c r="K11" s="42"/>
      <c r="L11" s="57">
        <v>3500.0</v>
      </c>
      <c r="M11" s="43">
        <v>-0.078</v>
      </c>
      <c r="N11" s="66">
        <v>52.0</v>
      </c>
      <c r="O11" s="43">
        <v>51.0</v>
      </c>
      <c r="P11" s="43">
        <v>1.0</v>
      </c>
      <c r="Q11" s="43">
        <v>0.35</v>
      </c>
      <c r="R11" s="43">
        <v>0.55</v>
      </c>
      <c r="S11" s="44">
        <v>3.0</v>
      </c>
      <c r="T11" s="45">
        <f>MAX(MIN($M11*Model!$A$13+$N11,$O11)*$P11,0)</f>
        <v>50.05</v>
      </c>
      <c r="U11" s="45">
        <f>MAX(MIN($M11*Model!$A$14+$N11,$O11)*$P11,0)</f>
        <v>46.15</v>
      </c>
      <c r="V11" s="45">
        <f>MAX(MIN($M11*Model!$A$15+$N11,$O11)*$P11,0)</f>
        <v>40.3</v>
      </c>
      <c r="W11" s="45">
        <f>MAX(MIN($M11*Model!$A$16+$N11,$O11)*$P11,0)</f>
        <v>32.5</v>
      </c>
      <c r="X11" s="45">
        <f>MAX(MIN($M11*Model!$A$17+$N11,$O11)*$P11,0)</f>
        <v>51</v>
      </c>
      <c r="Y11" s="45">
        <f>MAX(MIN($M11*Model!$A$18+$N11,$O11)*$P11,0)</f>
        <v>51</v>
      </c>
      <c r="Z11" s="45">
        <f>MAX(MIN($M11*Model!$A$19+$N11,$O11)*$P11,0)</f>
        <v>51</v>
      </c>
      <c r="AA11" s="45">
        <f>T11*Model!$B$13+U11*Model!$B$14+V11*Model!$B$15+W11*Model!$B$16+X11*Model!$B$17+Y11*Model!$B$18+Z11*Model!$B$19</f>
        <v>43.81</v>
      </c>
      <c r="AB11" s="46">
        <v>0.55</v>
      </c>
      <c r="AC11" s="47">
        <v>0.5</v>
      </c>
      <c r="AD11" s="48" t="str">
        <f>CONCATENATE("stat(bullet_velocity;",'10mm-ammo'!$AE11,";",'10mm-ammo'!$AF11,";",'10mm-ammo'!$AG11,";",'10mm-ammo'!$AH11,")")</f>
        <v>stat(bullet_velocity;0.05;0.3;500;2000)</v>
      </c>
      <c r="AE11" s="46">
        <v>0.05</v>
      </c>
      <c r="AF11" s="46">
        <v>0.3</v>
      </c>
      <c r="AG11" s="49">
        <v>500.0</v>
      </c>
      <c r="AH11" s="49">
        <v>2000.0</v>
      </c>
      <c r="AI11" s="50">
        <f>Model!$B$4+IF(I11="",0,I11)</f>
        <v>1200</v>
      </c>
      <c r="AJ11" s="45">
        <f t="shared" si="1"/>
        <v>0.1666666667</v>
      </c>
      <c r="AK11" s="51" t="s">
        <v>86</v>
      </c>
      <c r="AL11" s="52" t="s">
        <v>87</v>
      </c>
      <c r="AM11" s="53">
        <f>C11*Model!$B$24+D11*Model!$B$25+E11*Model!$B$26+F11*Model!$B$27+G11*Model!$B$28+H11*Model!$B$29+I11*Model!$B$30+J11*Model!$B$31+K11*Model!$B$32+L11*Model!$B$33</f>
        <v>-7.05</v>
      </c>
      <c r="AN11" s="53">
        <f>(AA11-Model!$B$5)*Model!$B$36</f>
        <v>-9.285</v>
      </c>
      <c r="AO11" s="53">
        <f>(Model!$B$6-AB11)*Model!$B$37</f>
        <v>0</v>
      </c>
      <c r="AP11" s="53">
        <f>(AC11-Model!$B$7)*Model!$B$38</f>
        <v>0.15</v>
      </c>
      <c r="AQ11" s="53">
        <f>(AJ11-Model!$B$8)*Model!$B$39</f>
        <v>0.06666666667</v>
      </c>
      <c r="AR11" s="53">
        <f t="shared" si="2"/>
        <v>-16.11833333</v>
      </c>
    </row>
    <row r="12" ht="14.25" customHeight="1">
      <c r="A12" s="54" t="s">
        <v>104</v>
      </c>
      <c r="B12" s="54" t="s">
        <v>105</v>
      </c>
      <c r="C12" s="56">
        <v>1.0</v>
      </c>
      <c r="D12" s="55">
        <v>0.11</v>
      </c>
      <c r="E12" s="56">
        <v>-4.0</v>
      </c>
      <c r="F12" s="56">
        <v>-2.0</v>
      </c>
      <c r="G12" s="55">
        <v>0.1</v>
      </c>
      <c r="H12" s="41"/>
      <c r="I12" s="56">
        <v>-125.0</v>
      </c>
      <c r="J12" s="40"/>
      <c r="K12" s="57">
        <v>-0.6</v>
      </c>
      <c r="L12" s="57">
        <v>1750.0</v>
      </c>
      <c r="M12" s="43">
        <v>-0.11</v>
      </c>
      <c r="N12" s="43">
        <v>52.5</v>
      </c>
      <c r="O12" s="43">
        <v>52.5</v>
      </c>
      <c r="P12" s="43">
        <v>1.0</v>
      </c>
      <c r="Q12" s="43">
        <v>0.3</v>
      </c>
      <c r="R12" s="43">
        <v>0.3</v>
      </c>
      <c r="S12" s="44">
        <v>3.0</v>
      </c>
      <c r="T12" s="45">
        <f>MAX(MIN($M12*Model!$A$13+$N12,$O12)*$P12,0)</f>
        <v>49.75</v>
      </c>
      <c r="U12" s="45">
        <f>MAX(MIN($M12*Model!$A$14+$N12,$O12)*$P12,0)</f>
        <v>44.25</v>
      </c>
      <c r="V12" s="45">
        <f>MAX(MIN($M12*Model!$A$15+$N12,$O12)*$P12,0)</f>
        <v>36</v>
      </c>
      <c r="W12" s="45">
        <f>MAX(MIN($M12*Model!$A$16+$N12,$O12)*$P12,0)</f>
        <v>25</v>
      </c>
      <c r="X12" s="45">
        <f>MAX(MIN($M12*Model!$A$17+$N12,$O12)*$P12,0)</f>
        <v>52.5</v>
      </c>
      <c r="Y12" s="45">
        <f>MAX(MIN($M12*Model!$A$18+$N12,$O12)*$P12,0)</f>
        <v>52.5</v>
      </c>
      <c r="Z12" s="45">
        <f>MAX(MIN($M12*Model!$A$19+$N12,$O12)*$P12,0)</f>
        <v>52.5</v>
      </c>
      <c r="AA12" s="45">
        <f>T12*Model!$B$13+U12*Model!$B$14+V12*Model!$B$15+W12*Model!$B$16+X12*Model!$B$17+Y12*Model!$B$18+Z12*Model!$B$19</f>
        <v>40.95</v>
      </c>
      <c r="AB12" s="46">
        <v>0.5</v>
      </c>
      <c r="AC12" s="47">
        <v>0.35</v>
      </c>
      <c r="AD12" s="48" t="str">
        <f>CONCATENATE("stat(bullet_velocity;",'10mm-ammo'!$AE12,";",'10mm-ammo'!$AF12,";",'10mm-ammo'!$AG12,";",'10mm-ammo'!$AH12,")")</f>
        <v>stat(bullet_velocity;0.1;0.25;500;2000)</v>
      </c>
      <c r="AE12" s="46">
        <v>0.1</v>
      </c>
      <c r="AF12" s="46">
        <v>0.25</v>
      </c>
      <c r="AG12" s="49">
        <v>500.0</v>
      </c>
      <c r="AH12" s="49">
        <v>2000.0</v>
      </c>
      <c r="AI12" s="50">
        <f>Model!$B$4+IF(I12="",0,I12)</f>
        <v>1025</v>
      </c>
      <c r="AJ12" s="45">
        <f t="shared" si="1"/>
        <v>0.1525</v>
      </c>
      <c r="AK12" s="51" t="s">
        <v>86</v>
      </c>
      <c r="AL12" s="52" t="s">
        <v>87</v>
      </c>
      <c r="AM12" s="53">
        <f>C12*Model!$B$24+D12*Model!$B$25+E12*Model!$B$26+F12*Model!$B$27+G12*Model!$B$28+H12*Model!$B$29+I12*Model!$B$30+J12*Model!$B$31+K12*Model!$B$32+L12*Model!$B$33</f>
        <v>4.575</v>
      </c>
      <c r="AN12" s="53">
        <f>(AA12-Model!$B$5)*Model!$B$36</f>
        <v>-13.575</v>
      </c>
      <c r="AO12" s="53">
        <f>(Model!$B$6-AB12)*Model!$B$37</f>
        <v>-0.1</v>
      </c>
      <c r="AP12" s="53">
        <f>(AC12-Model!$B$7)*Model!$B$38</f>
        <v>-0.3</v>
      </c>
      <c r="AQ12" s="53">
        <f>(AJ12-Model!$B$8)*Model!$B$39</f>
        <v>0.01</v>
      </c>
      <c r="AR12" s="53">
        <f t="shared" si="2"/>
        <v>-9.39</v>
      </c>
    </row>
    <row r="13" ht="14.25" customHeight="1">
      <c r="A13" s="54" t="s">
        <v>106</v>
      </c>
      <c r="B13" s="54" t="s">
        <v>107</v>
      </c>
      <c r="C13" s="56">
        <v>0.0</v>
      </c>
      <c r="D13" s="55">
        <v>-0.02</v>
      </c>
      <c r="E13" s="56">
        <v>-1.0</v>
      </c>
      <c r="F13" s="56">
        <v>-2.0</v>
      </c>
      <c r="G13" s="55">
        <v>0.0</v>
      </c>
      <c r="H13" s="41"/>
      <c r="I13" s="56">
        <v>-25.0</v>
      </c>
      <c r="J13" s="40"/>
      <c r="K13" s="42"/>
      <c r="L13" s="57">
        <v>1250.0</v>
      </c>
      <c r="M13" s="43">
        <v>-0.066</v>
      </c>
      <c r="N13" s="43">
        <v>48.5</v>
      </c>
      <c r="O13" s="43">
        <v>48.0</v>
      </c>
      <c r="P13" s="43">
        <v>1.0</v>
      </c>
      <c r="Q13" s="66">
        <v>0.35</v>
      </c>
      <c r="R13" s="66">
        <v>0.55</v>
      </c>
      <c r="S13" s="44">
        <v>3.0</v>
      </c>
      <c r="T13" s="45">
        <f>MAX(MIN($M13*Model!$A$13+$N13,$O13)*$P13,0)</f>
        <v>46.85</v>
      </c>
      <c r="U13" s="45">
        <f>MAX(MIN($M13*Model!$A$14+$N13,$O13)*$P13,0)</f>
        <v>43.55</v>
      </c>
      <c r="V13" s="45">
        <f>MAX(MIN($M13*Model!$A$15+$N13,$O13)*$P13,0)</f>
        <v>38.6</v>
      </c>
      <c r="W13" s="45">
        <f>MAX(MIN($M13*Model!$A$16+$N13,$O13)*$P13,0)</f>
        <v>32</v>
      </c>
      <c r="X13" s="45">
        <f>MAX(MIN($M13*Model!$A$17+$N13,$O13)*$P13,0)</f>
        <v>48</v>
      </c>
      <c r="Y13" s="45">
        <f>MAX(MIN($M13*Model!$A$18+$N13,$O13)*$P13,0)</f>
        <v>48</v>
      </c>
      <c r="Z13" s="45">
        <f>MAX(MIN($M13*Model!$A$19+$N13,$O13)*$P13,0)</f>
        <v>48</v>
      </c>
      <c r="AA13" s="45">
        <f>T13*Model!$B$13+U13*Model!$B$14+V13*Model!$B$15+W13*Model!$B$16+X13*Model!$B$17+Y13*Model!$B$18+Z13*Model!$B$19</f>
        <v>41.57</v>
      </c>
      <c r="AB13" s="46">
        <v>0.45</v>
      </c>
      <c r="AC13" s="47">
        <v>0.6</v>
      </c>
      <c r="AD13" s="48" t="str">
        <f>CONCATENATE("stat(bullet_velocity;",'10mm-ammo'!$AE13,";",'10mm-ammo'!$AF13,";",'10mm-ammo'!$AG13,";",'10mm-ammo'!$AH13,")")</f>
        <v>stat(bullet_velocity;0.15;0.55;500;2000)</v>
      </c>
      <c r="AE13" s="46">
        <v>0.15</v>
      </c>
      <c r="AF13" s="46">
        <v>0.55</v>
      </c>
      <c r="AG13" s="49">
        <v>500.0</v>
      </c>
      <c r="AH13" s="49">
        <v>2000.0</v>
      </c>
      <c r="AI13" s="50">
        <f>Model!$B$4+IF(I13="",0,I13)</f>
        <v>1125</v>
      </c>
      <c r="AJ13" s="45">
        <f t="shared" si="1"/>
        <v>0.3166666667</v>
      </c>
      <c r="AK13" s="51" t="s">
        <v>86</v>
      </c>
      <c r="AL13" s="52" t="s">
        <v>87</v>
      </c>
      <c r="AM13" s="53">
        <f>C13*Model!$B$24+D13*Model!$B$25+E13*Model!$B$26+F13*Model!$B$27+G13*Model!$B$28+H13*Model!$B$29+I13*Model!$B$30+J13*Model!$B$31+K13*Model!$B$32+L13*Model!$B$33</f>
        <v>2.275</v>
      </c>
      <c r="AN13" s="53">
        <f>(AA13-Model!$B$5)*Model!$B$36</f>
        <v>-12.645</v>
      </c>
      <c r="AO13" s="53">
        <f>(Model!$B$6-AB13)*Model!$B$37</f>
        <v>-0.2</v>
      </c>
      <c r="AP13" s="53">
        <f>(AC13-Model!$B$7)*Model!$B$38</f>
        <v>0.45</v>
      </c>
      <c r="AQ13" s="53">
        <f>(AJ13-Model!$B$8)*Model!$B$39</f>
        <v>0.6666666667</v>
      </c>
      <c r="AR13" s="53">
        <f t="shared" si="2"/>
        <v>-9.453333333</v>
      </c>
    </row>
    <row r="14" ht="14.25" customHeight="1">
      <c r="A14" s="54" t="s">
        <v>108</v>
      </c>
      <c r="B14" s="54" t="s">
        <v>109</v>
      </c>
      <c r="C14" s="56">
        <v>1.0</v>
      </c>
      <c r="D14" s="55">
        <v>-0.11</v>
      </c>
      <c r="E14" s="56">
        <v>-2.0</v>
      </c>
      <c r="F14" s="56">
        <v>-3.0</v>
      </c>
      <c r="G14" s="55">
        <v>-0.1</v>
      </c>
      <c r="H14" s="41"/>
      <c r="I14" s="56">
        <v>75.0</v>
      </c>
      <c r="J14" s="40"/>
      <c r="K14" s="42"/>
      <c r="L14" s="57">
        <v>1000.0</v>
      </c>
      <c r="M14" s="44">
        <v>-0.068</v>
      </c>
      <c r="N14" s="44">
        <v>48.5</v>
      </c>
      <c r="O14" s="44">
        <v>46.5</v>
      </c>
      <c r="P14" s="44">
        <v>1.0</v>
      </c>
      <c r="Q14" s="44">
        <v>0.3</v>
      </c>
      <c r="R14" s="44">
        <v>0.5</v>
      </c>
      <c r="S14" s="44">
        <v>3.0</v>
      </c>
      <c r="T14" s="45">
        <f>MAX(MIN($M14*Model!$A$13+$N14,$O14)*$P14,0)</f>
        <v>46.5</v>
      </c>
      <c r="U14" s="45">
        <f>MAX(MIN($M14*Model!$A$14+$N14,$O14)*$P14,0)</f>
        <v>43.4</v>
      </c>
      <c r="V14" s="45">
        <f>MAX(MIN($M14*Model!$A$15+$N14,$O14)*$P14,0)</f>
        <v>38.3</v>
      </c>
      <c r="W14" s="45">
        <f>MAX(MIN($M14*Model!$A$16+$N14,$O14)*$P14,0)</f>
        <v>31.5</v>
      </c>
      <c r="X14" s="45">
        <f>MAX(MIN($M14*Model!$A$17+$N14,$O14)*$P14,0)</f>
        <v>46.5</v>
      </c>
      <c r="Y14" s="45">
        <f>MAX(MIN($M14*Model!$A$18+$N14,$O14)*$P14,0)</f>
        <v>46.5</v>
      </c>
      <c r="Z14" s="45">
        <f>MAX(MIN($M14*Model!$A$19+$N14,$O14)*$P14,0)</f>
        <v>46.5</v>
      </c>
      <c r="AA14" s="45">
        <f>T14*Model!$B$13+U14*Model!$B$14+V14*Model!$B$15+W14*Model!$B$16+X14*Model!$B$17+Y14*Model!$B$18+Z14*Model!$B$19</f>
        <v>41.27</v>
      </c>
      <c r="AB14" s="46">
        <v>0.45</v>
      </c>
      <c r="AC14" s="47">
        <v>0.5</v>
      </c>
      <c r="AD14" s="48" t="str">
        <f>CONCATENATE("stat(bullet_velocity;",'10mm-ammo'!$AE14,";",'10mm-ammo'!$AF14,";",'10mm-ammo'!$AG14,";",'10mm-ammo'!$AH14,")")</f>
        <v>stat(bullet_velocity;0;0.1;500;2000)</v>
      </c>
      <c r="AE14" s="46">
        <v>0.0</v>
      </c>
      <c r="AF14" s="46">
        <v>0.1</v>
      </c>
      <c r="AG14" s="49">
        <v>500.0</v>
      </c>
      <c r="AH14" s="49">
        <v>2000.0</v>
      </c>
      <c r="AI14" s="50">
        <f>Model!$B$4+IF(I14="",0,I14)</f>
        <v>1225</v>
      </c>
      <c r="AJ14" s="45">
        <f t="shared" si="1"/>
        <v>0.04833333333</v>
      </c>
      <c r="AK14" s="51" t="s">
        <v>86</v>
      </c>
      <c r="AL14" s="52" t="s">
        <v>87</v>
      </c>
      <c r="AM14" s="53">
        <f>C14*Model!$B$24+D14*Model!$B$25+E14*Model!$B$26+F14*Model!$B$27+G14*Model!$B$28+H14*Model!$B$29+I14*Model!$B$30+J14*Model!$B$31+K14*Model!$B$32+L14*Model!$B$33</f>
        <v>7.975</v>
      </c>
      <c r="AN14" s="53">
        <f>(AA14-Model!$B$5)*Model!$B$36</f>
        <v>-13.095</v>
      </c>
      <c r="AO14" s="53">
        <f>(Model!$B$6-AB14)*Model!$B$37</f>
        <v>-0.2</v>
      </c>
      <c r="AP14" s="53">
        <f>(AC14-Model!$B$7)*Model!$B$38</f>
        <v>0.15</v>
      </c>
      <c r="AQ14" s="53">
        <f>(AJ14-Model!$B$8)*Model!$B$39</f>
        <v>-0.4066666667</v>
      </c>
      <c r="AR14" s="53">
        <f t="shared" si="2"/>
        <v>-5.576666667</v>
      </c>
    </row>
    <row r="15" ht="14.25" customHeight="1">
      <c r="A15" s="54" t="s">
        <v>110</v>
      </c>
      <c r="B15" s="54" t="s">
        <v>111</v>
      </c>
      <c r="C15" s="56">
        <v>2.0</v>
      </c>
      <c r="D15" s="55">
        <v>-0.09</v>
      </c>
      <c r="E15" s="56">
        <v>-3.0</v>
      </c>
      <c r="F15" s="56">
        <v>-3.0</v>
      </c>
      <c r="G15" s="55">
        <v>0.15</v>
      </c>
      <c r="H15" s="41"/>
      <c r="I15" s="56">
        <v>25.0</v>
      </c>
      <c r="J15" s="40"/>
      <c r="K15" s="42"/>
      <c r="L15" s="57">
        <v>750.0</v>
      </c>
      <c r="M15" s="66">
        <v>-0.074</v>
      </c>
      <c r="N15" s="44">
        <v>48.5</v>
      </c>
      <c r="O15" s="66">
        <v>48.5</v>
      </c>
      <c r="P15" s="44">
        <v>1.0</v>
      </c>
      <c r="Q15" s="44">
        <v>0.3</v>
      </c>
      <c r="R15" s="44">
        <v>0.5</v>
      </c>
      <c r="S15" s="44">
        <v>3.0</v>
      </c>
      <c r="T15" s="45">
        <f>MAX(MIN($M15*Model!$A$13+$N15,$O15)*$P15,0)</f>
        <v>46.65</v>
      </c>
      <c r="U15" s="45">
        <f>MAX(MIN($M15*Model!$A$14+$N15,$O15)*$P15,0)</f>
        <v>42.95</v>
      </c>
      <c r="V15" s="45">
        <f>MAX(MIN($M15*Model!$A$15+$N15,$O15)*$P15,0)</f>
        <v>37.4</v>
      </c>
      <c r="W15" s="45">
        <f>MAX(MIN($M15*Model!$A$16+$N15,$O15)*$P15,0)</f>
        <v>30</v>
      </c>
      <c r="X15" s="45">
        <f>MAX(MIN($M15*Model!$A$17+$N15,$O15)*$P15,0)</f>
        <v>48.5</v>
      </c>
      <c r="Y15" s="45">
        <f>MAX(MIN($M15*Model!$A$18+$N15,$O15)*$P15,0)</f>
        <v>48.5</v>
      </c>
      <c r="Z15" s="45">
        <f>MAX(MIN($M15*Model!$A$19+$N15,$O15)*$P15,0)</f>
        <v>48.5</v>
      </c>
      <c r="AA15" s="45">
        <f>T15*Model!$B$13+U15*Model!$B$14+V15*Model!$B$15+W15*Model!$B$16+X15*Model!$B$17+Y15*Model!$B$18+Z15*Model!$B$19</f>
        <v>40.73</v>
      </c>
      <c r="AB15" s="46">
        <v>0.5</v>
      </c>
      <c r="AC15" s="47">
        <v>1.0</v>
      </c>
      <c r="AD15" s="48" t="str">
        <f>CONCATENATE("stat(bullet_velocity;",'10mm-ammo'!$AE15,";",'10mm-ammo'!$AF15,";",'10mm-ammo'!$AG15,";",'10mm-ammo'!$AH15,")")</f>
        <v>stat(bullet_velocity;0.15;0.55;500;2000)</v>
      </c>
      <c r="AE15" s="46">
        <v>0.15</v>
      </c>
      <c r="AF15" s="46">
        <v>0.55</v>
      </c>
      <c r="AG15" s="49">
        <v>500.0</v>
      </c>
      <c r="AH15" s="49">
        <v>2000.0</v>
      </c>
      <c r="AI15" s="50">
        <f>Model!$B$4+IF(I15="",0,I15)</f>
        <v>1175</v>
      </c>
      <c r="AJ15" s="45">
        <f t="shared" si="1"/>
        <v>0.33</v>
      </c>
      <c r="AK15" s="51" t="s">
        <v>86</v>
      </c>
      <c r="AL15" s="52" t="s">
        <v>87</v>
      </c>
      <c r="AM15" s="53">
        <f>C15*Model!$B$24+D15*Model!$B$25+E15*Model!$B$26+F15*Model!$B$27+G15*Model!$B$28+H15*Model!$B$29+I15*Model!$B$30+J15*Model!$B$31+K15*Model!$B$32+L15*Model!$B$33</f>
        <v>6.625</v>
      </c>
      <c r="AN15" s="53">
        <f>(AA15-Model!$B$5)*Model!$B$36</f>
        <v>-13.905</v>
      </c>
      <c r="AO15" s="53">
        <f>(Model!$B$6-AB15)*Model!$B$37</f>
        <v>-0.1</v>
      </c>
      <c r="AP15" s="53">
        <f>(AC15-Model!$B$7)*Model!$B$38</f>
        <v>1.65</v>
      </c>
      <c r="AQ15" s="53">
        <f>(AJ15-Model!$B$8)*Model!$B$39</f>
        <v>0.72</v>
      </c>
      <c r="AR15" s="53">
        <f t="shared" si="2"/>
        <v>-5.01</v>
      </c>
    </row>
    <row r="16" ht="14.25" customHeight="1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</row>
    <row r="17" ht="14.25" customHeight="1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</row>
    <row r="18" ht="14.25" customHeight="1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</row>
    <row r="19" ht="14.25" customHeight="1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</row>
    <row r="20" ht="14.25" customHeight="1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</row>
    <row r="21" ht="14.25" customHeight="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</row>
    <row r="22" ht="14.25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</row>
    <row r="23" ht="14.25" customHeight="1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2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</row>
    <row r="24" ht="14.25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</row>
    <row r="25" ht="14.25" customHeight="1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</row>
    <row r="26" ht="14.25" customHeight="1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</row>
    <row r="27" ht="14.25" customHeight="1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</row>
    <row r="28" ht="14.25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</row>
    <row r="29" ht="14.2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</row>
    <row r="30" ht="14.25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</row>
    <row r="31" ht="14.25" customHeight="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</row>
    <row r="32" ht="14.25" customHeight="1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</row>
    <row r="33" ht="14.25" customHeight="1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</row>
    <row r="34" ht="14.25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</row>
    <row r="35" ht="14.25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</row>
    <row r="36" ht="14.25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</row>
    <row r="37" ht="14.2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</row>
    <row r="38" ht="14.2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</row>
    <row r="39" ht="14.2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</row>
    <row r="40" ht="14.2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</row>
    <row r="41" ht="14.2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</row>
    <row r="42" ht="14.2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</row>
    <row r="43" ht="14.2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</row>
    <row r="44" ht="14.2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</row>
    <row r="45" ht="14.2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</row>
    <row r="46" ht="14.2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</row>
    <row r="47" ht="14.2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</row>
    <row r="48" ht="14.2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</row>
    <row r="49" ht="14.2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</row>
    <row r="50" ht="14.2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</row>
    <row r="51" ht="14.2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</row>
    <row r="52" ht="14.2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</row>
    <row r="53" ht="14.2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</row>
    <row r="54" ht="14.2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</row>
    <row r="55" ht="14.2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</row>
    <row r="56" ht="14.2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</row>
    <row r="57" ht="14.2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</row>
    <row r="58" ht="14.2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</row>
    <row r="59" ht="14.2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</row>
    <row r="60" ht="14.2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</row>
    <row r="61" ht="14.2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</row>
    <row r="62" ht="14.2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</row>
    <row r="63" ht="14.2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</row>
    <row r="64" ht="14.2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</row>
    <row r="65" ht="14.2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</row>
    <row r="66" ht="14.2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</row>
    <row r="67" ht="14.2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</row>
    <row r="68" ht="14.2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</row>
    <row r="69" ht="14.2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</row>
    <row r="70" ht="14.2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</row>
    <row r="71" ht="14.2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</row>
    <row r="72" ht="14.2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</row>
    <row r="73" ht="14.2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</row>
    <row r="74" ht="14.2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</row>
    <row r="75" ht="14.2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</row>
    <row r="76" ht="14.2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</row>
    <row r="77" ht="14.2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</row>
    <row r="78" ht="14.2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</row>
    <row r="79" ht="14.2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</row>
    <row r="80" ht="14.2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</row>
    <row r="81" ht="14.2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</row>
    <row r="82" ht="14.2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</row>
    <row r="83" ht="14.2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</row>
    <row r="84" ht="14.2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</row>
    <row r="85" ht="14.2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</row>
    <row r="86" ht="14.2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</row>
    <row r="87" ht="14.2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</row>
    <row r="88" ht="14.2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</row>
    <row r="89" ht="14.2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</row>
    <row r="90" ht="14.2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</row>
    <row r="91" ht="14.2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</row>
    <row r="92" ht="14.2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</row>
    <row r="93" ht="14.2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</row>
    <row r="94" ht="14.2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</row>
    <row r="95" ht="14.2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</row>
    <row r="96" ht="14.2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</row>
    <row r="97" ht="14.2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</row>
    <row r="98" ht="14.2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</row>
    <row r="99" ht="14.2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</row>
    <row r="100" ht="14.2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</row>
    <row r="101" ht="14.2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</row>
    <row r="102" ht="14.2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</row>
    <row r="103" ht="14.2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</row>
    <row r="104" ht="14.2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71"/>
      <c r="AK104" s="71"/>
      <c r="AL104" s="71"/>
      <c r="AM104" s="71"/>
      <c r="AN104" s="71"/>
      <c r="AO104" s="71"/>
      <c r="AP104" s="71"/>
      <c r="AQ104" s="71"/>
      <c r="AR104" s="71"/>
    </row>
    <row r="105" ht="14.2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/>
      <c r="AR105" s="71"/>
    </row>
    <row r="106" ht="14.2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</row>
    <row r="107" ht="14.2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</row>
    <row r="108" ht="14.2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71"/>
      <c r="AK108" s="71"/>
      <c r="AL108" s="71"/>
      <c r="AM108" s="71"/>
      <c r="AN108" s="71"/>
      <c r="AO108" s="71"/>
      <c r="AP108" s="71"/>
      <c r="AQ108" s="71"/>
      <c r="AR108" s="71"/>
    </row>
    <row r="109" ht="14.2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</row>
    <row r="110" ht="14.2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</row>
    <row r="111" ht="14.2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71"/>
      <c r="AJ111" s="71"/>
      <c r="AK111" s="71"/>
      <c r="AL111" s="71"/>
      <c r="AM111" s="71"/>
      <c r="AN111" s="71"/>
      <c r="AO111" s="71"/>
      <c r="AP111" s="71"/>
      <c r="AQ111" s="71"/>
      <c r="AR111" s="71"/>
    </row>
    <row r="112" ht="14.2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71"/>
      <c r="AJ112" s="71"/>
      <c r="AK112" s="71"/>
      <c r="AL112" s="71"/>
      <c r="AM112" s="71"/>
      <c r="AN112" s="71"/>
      <c r="AO112" s="71"/>
      <c r="AP112" s="71"/>
      <c r="AQ112" s="71"/>
      <c r="AR112" s="71"/>
    </row>
    <row r="113" ht="14.2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  <c r="AJ113" s="71"/>
      <c r="AK113" s="71"/>
      <c r="AL113" s="71"/>
      <c r="AM113" s="71"/>
      <c r="AN113" s="71"/>
      <c r="AO113" s="71"/>
      <c r="AP113" s="71"/>
      <c r="AQ113" s="71"/>
      <c r="AR113" s="71"/>
    </row>
    <row r="114" ht="14.2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</row>
    <row r="115" ht="14.2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</row>
    <row r="116" ht="14.2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71"/>
      <c r="AJ116" s="71"/>
      <c r="AK116" s="71"/>
      <c r="AL116" s="71"/>
      <c r="AM116" s="71"/>
      <c r="AN116" s="71"/>
      <c r="AO116" s="71"/>
      <c r="AP116" s="71"/>
      <c r="AQ116" s="71"/>
      <c r="AR116" s="71"/>
    </row>
    <row r="117" ht="14.2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  <c r="AR117" s="71"/>
    </row>
    <row r="118" ht="14.2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</row>
    <row r="119" ht="14.2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</row>
    <row r="120" ht="14.2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</row>
    <row r="121" ht="14.2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  <c r="AR121" s="71"/>
    </row>
    <row r="122" ht="14.2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</row>
    <row r="123" ht="14.2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</row>
    <row r="124" ht="14.2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</row>
    <row r="125" ht="14.2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</row>
    <row r="126" ht="14.2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</row>
    <row r="127" ht="14.2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1"/>
    </row>
    <row r="128" ht="14.2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71"/>
      <c r="AJ128" s="71"/>
      <c r="AK128" s="71"/>
      <c r="AL128" s="71"/>
      <c r="AM128" s="71"/>
      <c r="AN128" s="71"/>
      <c r="AO128" s="71"/>
      <c r="AP128" s="71"/>
      <c r="AQ128" s="71"/>
      <c r="AR128" s="71"/>
    </row>
    <row r="129" ht="14.2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71"/>
      <c r="AK129" s="71"/>
      <c r="AL129" s="71"/>
      <c r="AM129" s="71"/>
      <c r="AN129" s="71"/>
      <c r="AO129" s="71"/>
      <c r="AP129" s="71"/>
      <c r="AQ129" s="71"/>
      <c r="AR129" s="71"/>
    </row>
    <row r="130" ht="14.2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</row>
    <row r="131" ht="14.2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  <c r="AK131" s="71"/>
      <c r="AL131" s="71"/>
      <c r="AM131" s="71"/>
      <c r="AN131" s="71"/>
      <c r="AO131" s="71"/>
      <c r="AP131" s="71"/>
      <c r="AQ131" s="71"/>
      <c r="AR131" s="71"/>
    </row>
    <row r="132" ht="14.2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71"/>
      <c r="AK132" s="71"/>
      <c r="AL132" s="71"/>
      <c r="AM132" s="71"/>
      <c r="AN132" s="71"/>
      <c r="AO132" s="71"/>
      <c r="AP132" s="71"/>
      <c r="AQ132" s="71"/>
      <c r="AR132" s="71"/>
    </row>
    <row r="133" ht="14.2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71"/>
      <c r="AK133" s="71"/>
      <c r="AL133" s="71"/>
      <c r="AM133" s="71"/>
      <c r="AN133" s="71"/>
      <c r="AO133" s="71"/>
      <c r="AP133" s="71"/>
      <c r="AQ133" s="71"/>
      <c r="AR133" s="71"/>
    </row>
    <row r="134" ht="14.2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</row>
    <row r="135" ht="14.2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71"/>
      <c r="AJ135" s="71"/>
      <c r="AK135" s="71"/>
      <c r="AL135" s="71"/>
      <c r="AM135" s="71"/>
      <c r="AN135" s="71"/>
      <c r="AO135" s="71"/>
      <c r="AP135" s="71"/>
      <c r="AQ135" s="71"/>
      <c r="AR135" s="71"/>
    </row>
    <row r="136" ht="14.2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71"/>
      <c r="AJ136" s="71"/>
      <c r="AK136" s="71"/>
      <c r="AL136" s="71"/>
      <c r="AM136" s="71"/>
      <c r="AN136" s="71"/>
      <c r="AO136" s="71"/>
      <c r="AP136" s="71"/>
      <c r="AQ136" s="71"/>
      <c r="AR136" s="71"/>
    </row>
    <row r="137" ht="14.2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71"/>
      <c r="AJ137" s="71"/>
      <c r="AK137" s="71"/>
      <c r="AL137" s="71"/>
      <c r="AM137" s="71"/>
      <c r="AN137" s="71"/>
      <c r="AO137" s="71"/>
      <c r="AP137" s="71"/>
      <c r="AQ137" s="71"/>
      <c r="AR137" s="71"/>
    </row>
    <row r="138" ht="14.2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</row>
    <row r="139" ht="14.2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71"/>
      <c r="AJ139" s="71"/>
      <c r="AK139" s="71"/>
      <c r="AL139" s="71"/>
      <c r="AM139" s="71"/>
      <c r="AN139" s="71"/>
      <c r="AO139" s="71"/>
      <c r="AP139" s="71"/>
      <c r="AQ139" s="71"/>
      <c r="AR139" s="71"/>
    </row>
    <row r="140" ht="14.2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/>
      <c r="AR140" s="71"/>
    </row>
    <row r="141" ht="14.2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/>
      <c r="AR141" s="71"/>
    </row>
    <row r="142" ht="14.2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  <c r="AR142" s="71"/>
    </row>
    <row r="143" ht="14.2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  <c r="AR143" s="71"/>
    </row>
    <row r="144" ht="14.2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71"/>
      <c r="AJ144" s="71"/>
      <c r="AK144" s="71"/>
      <c r="AL144" s="71"/>
      <c r="AM144" s="71"/>
      <c r="AN144" s="71"/>
      <c r="AO144" s="71"/>
      <c r="AP144" s="71"/>
      <c r="AQ144" s="71"/>
      <c r="AR144" s="71"/>
    </row>
    <row r="145" ht="14.2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71"/>
      <c r="AJ145" s="71"/>
      <c r="AK145" s="71"/>
      <c r="AL145" s="71"/>
      <c r="AM145" s="71"/>
      <c r="AN145" s="71"/>
      <c r="AO145" s="71"/>
      <c r="AP145" s="71"/>
      <c r="AQ145" s="71"/>
      <c r="AR145" s="71"/>
    </row>
    <row r="146" ht="14.2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71"/>
      <c r="AJ146" s="71"/>
      <c r="AK146" s="71"/>
      <c r="AL146" s="71"/>
      <c r="AM146" s="71"/>
      <c r="AN146" s="71"/>
      <c r="AO146" s="71"/>
      <c r="AP146" s="71"/>
      <c r="AQ146" s="71"/>
      <c r="AR146" s="71"/>
    </row>
    <row r="147" ht="14.2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71"/>
      <c r="AK147" s="71"/>
      <c r="AL147" s="71"/>
      <c r="AM147" s="71"/>
      <c r="AN147" s="71"/>
      <c r="AO147" s="71"/>
      <c r="AP147" s="71"/>
      <c r="AQ147" s="71"/>
      <c r="AR147" s="71"/>
    </row>
    <row r="148" ht="14.2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</row>
    <row r="149" ht="14.2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/>
      <c r="AK149" s="71"/>
      <c r="AL149" s="71"/>
      <c r="AM149" s="71"/>
      <c r="AN149" s="71"/>
      <c r="AO149" s="71"/>
      <c r="AP149" s="71"/>
      <c r="AQ149" s="71"/>
      <c r="AR149" s="71"/>
    </row>
    <row r="150" ht="14.2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71"/>
      <c r="AJ150" s="71"/>
      <c r="AK150" s="71"/>
      <c r="AL150" s="71"/>
      <c r="AM150" s="71"/>
      <c r="AN150" s="71"/>
      <c r="AO150" s="71"/>
      <c r="AP150" s="71"/>
      <c r="AQ150" s="71"/>
      <c r="AR150" s="71"/>
    </row>
    <row r="151" ht="14.2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71"/>
      <c r="AJ151" s="71"/>
      <c r="AK151" s="71"/>
      <c r="AL151" s="71"/>
      <c r="AM151" s="71"/>
      <c r="AN151" s="71"/>
      <c r="AO151" s="71"/>
      <c r="AP151" s="71"/>
      <c r="AQ151" s="71"/>
      <c r="AR151" s="71"/>
    </row>
    <row r="152" ht="14.2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71"/>
      <c r="AJ152" s="71"/>
      <c r="AK152" s="71"/>
      <c r="AL152" s="71"/>
      <c r="AM152" s="71"/>
      <c r="AN152" s="71"/>
      <c r="AO152" s="71"/>
      <c r="AP152" s="71"/>
      <c r="AQ152" s="71"/>
      <c r="AR152" s="71"/>
    </row>
    <row r="153" ht="14.2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  <c r="AK153" s="71"/>
      <c r="AL153" s="71"/>
      <c r="AM153" s="71"/>
      <c r="AN153" s="71"/>
      <c r="AO153" s="71"/>
      <c r="AP153" s="71"/>
      <c r="AQ153" s="71"/>
      <c r="AR153" s="71"/>
    </row>
    <row r="154" ht="14.2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71"/>
      <c r="AK154" s="71"/>
      <c r="AL154" s="71"/>
      <c r="AM154" s="71"/>
      <c r="AN154" s="71"/>
      <c r="AO154" s="71"/>
      <c r="AP154" s="71"/>
      <c r="AQ154" s="71"/>
      <c r="AR154" s="71"/>
    </row>
    <row r="155" ht="14.2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71"/>
      <c r="AK155" s="71"/>
      <c r="AL155" s="71"/>
      <c r="AM155" s="71"/>
      <c r="AN155" s="71"/>
      <c r="AO155" s="71"/>
      <c r="AP155" s="71"/>
      <c r="AQ155" s="71"/>
      <c r="AR155" s="71"/>
    </row>
    <row r="156" ht="14.2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J156" s="71"/>
      <c r="AK156" s="71"/>
      <c r="AL156" s="71"/>
      <c r="AM156" s="71"/>
      <c r="AN156" s="71"/>
      <c r="AO156" s="71"/>
      <c r="AP156" s="71"/>
      <c r="AQ156" s="71"/>
      <c r="AR156" s="71"/>
    </row>
    <row r="157" ht="14.2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J157" s="71"/>
      <c r="AK157" s="71"/>
      <c r="AL157" s="71"/>
      <c r="AM157" s="71"/>
      <c r="AN157" s="71"/>
      <c r="AO157" s="71"/>
      <c r="AP157" s="71"/>
      <c r="AQ157" s="71"/>
      <c r="AR157" s="71"/>
    </row>
    <row r="158" ht="14.2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  <c r="AR158" s="71"/>
    </row>
    <row r="159" ht="14.2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J159" s="71"/>
      <c r="AK159" s="71"/>
      <c r="AL159" s="71"/>
      <c r="AM159" s="71"/>
      <c r="AN159" s="71"/>
      <c r="AO159" s="71"/>
      <c r="AP159" s="71"/>
      <c r="AQ159" s="71"/>
      <c r="AR159" s="71"/>
    </row>
    <row r="160" ht="14.2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1"/>
    </row>
    <row r="161" ht="14.2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  <c r="AR161" s="71"/>
    </row>
    <row r="162" ht="14.2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  <c r="AR162" s="71"/>
    </row>
    <row r="163" ht="14.2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71"/>
      <c r="AJ163" s="71"/>
      <c r="AK163" s="71"/>
      <c r="AL163" s="71"/>
      <c r="AM163" s="71"/>
      <c r="AN163" s="71"/>
      <c r="AO163" s="71"/>
      <c r="AP163" s="71"/>
      <c r="AQ163" s="71"/>
      <c r="AR163" s="71"/>
    </row>
    <row r="164" ht="14.2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J164" s="71"/>
      <c r="AK164" s="71"/>
      <c r="AL164" s="71"/>
      <c r="AM164" s="71"/>
      <c r="AN164" s="71"/>
      <c r="AO164" s="71"/>
      <c r="AP164" s="71"/>
      <c r="AQ164" s="71"/>
      <c r="AR164" s="71"/>
    </row>
    <row r="165" ht="14.2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71"/>
      <c r="AJ165" s="71"/>
      <c r="AK165" s="71"/>
      <c r="AL165" s="71"/>
      <c r="AM165" s="71"/>
      <c r="AN165" s="71"/>
      <c r="AO165" s="71"/>
      <c r="AP165" s="71"/>
      <c r="AQ165" s="71"/>
      <c r="AR165" s="71"/>
    </row>
    <row r="166" ht="14.2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  <c r="AR166" s="71"/>
    </row>
    <row r="167" ht="14.2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J167" s="71"/>
      <c r="AK167" s="71"/>
      <c r="AL167" s="71"/>
      <c r="AM167" s="71"/>
      <c r="AN167" s="71"/>
      <c r="AO167" s="71"/>
      <c r="AP167" s="71"/>
      <c r="AQ167" s="71"/>
      <c r="AR167" s="71"/>
    </row>
    <row r="168" ht="14.2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</row>
    <row r="169" ht="14.2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</row>
    <row r="170" ht="14.2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  <c r="AR170" s="71"/>
    </row>
    <row r="171" ht="14.2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J171" s="71"/>
      <c r="AK171" s="71"/>
      <c r="AL171" s="71"/>
      <c r="AM171" s="71"/>
      <c r="AN171" s="71"/>
      <c r="AO171" s="71"/>
      <c r="AP171" s="71"/>
      <c r="AQ171" s="71"/>
      <c r="AR171" s="71"/>
    </row>
    <row r="172" ht="14.2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J172" s="71"/>
      <c r="AK172" s="71"/>
      <c r="AL172" s="71"/>
      <c r="AM172" s="71"/>
      <c r="AN172" s="71"/>
      <c r="AO172" s="71"/>
      <c r="AP172" s="71"/>
      <c r="AQ172" s="71"/>
      <c r="AR172" s="71"/>
    </row>
    <row r="173" ht="14.2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  <c r="AK173" s="71"/>
      <c r="AL173" s="71"/>
      <c r="AM173" s="71"/>
      <c r="AN173" s="71"/>
      <c r="AO173" s="71"/>
      <c r="AP173" s="71"/>
      <c r="AQ173" s="71"/>
      <c r="AR173" s="71"/>
    </row>
    <row r="174" ht="14.2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1"/>
      <c r="AL174" s="71"/>
      <c r="AM174" s="71"/>
      <c r="AN174" s="71"/>
      <c r="AO174" s="71"/>
      <c r="AP174" s="71"/>
      <c r="AQ174" s="71"/>
      <c r="AR174" s="71"/>
    </row>
    <row r="175" ht="14.2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71"/>
      <c r="AL175" s="71"/>
      <c r="AM175" s="71"/>
      <c r="AN175" s="71"/>
      <c r="AO175" s="71"/>
      <c r="AP175" s="71"/>
      <c r="AQ175" s="71"/>
      <c r="AR175" s="71"/>
    </row>
    <row r="176" ht="14.2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J176" s="71"/>
      <c r="AK176" s="71"/>
      <c r="AL176" s="71"/>
      <c r="AM176" s="71"/>
      <c r="AN176" s="71"/>
      <c r="AO176" s="71"/>
      <c r="AP176" s="71"/>
      <c r="AQ176" s="71"/>
      <c r="AR176" s="71"/>
    </row>
    <row r="177" ht="14.2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J177" s="71"/>
      <c r="AK177" s="71"/>
      <c r="AL177" s="71"/>
      <c r="AM177" s="71"/>
      <c r="AN177" s="71"/>
      <c r="AO177" s="71"/>
      <c r="AP177" s="71"/>
      <c r="AQ177" s="71"/>
      <c r="AR177" s="71"/>
    </row>
    <row r="178" ht="14.2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J178" s="71"/>
      <c r="AK178" s="71"/>
      <c r="AL178" s="71"/>
      <c r="AM178" s="71"/>
      <c r="AN178" s="71"/>
      <c r="AO178" s="71"/>
      <c r="AP178" s="71"/>
      <c r="AQ178" s="71"/>
      <c r="AR178" s="71"/>
    </row>
    <row r="179" ht="14.2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J179" s="71"/>
      <c r="AK179" s="71"/>
      <c r="AL179" s="71"/>
      <c r="AM179" s="71"/>
      <c r="AN179" s="71"/>
      <c r="AO179" s="71"/>
      <c r="AP179" s="71"/>
      <c r="AQ179" s="71"/>
      <c r="AR179" s="71"/>
    </row>
    <row r="180" ht="14.2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J180" s="71"/>
      <c r="AK180" s="71"/>
      <c r="AL180" s="71"/>
      <c r="AM180" s="71"/>
      <c r="AN180" s="71"/>
      <c r="AO180" s="71"/>
      <c r="AP180" s="71"/>
      <c r="AQ180" s="71"/>
      <c r="AR180" s="71"/>
    </row>
    <row r="181" ht="14.2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71"/>
      <c r="AJ181" s="71"/>
      <c r="AK181" s="71"/>
      <c r="AL181" s="71"/>
      <c r="AM181" s="71"/>
      <c r="AN181" s="71"/>
      <c r="AO181" s="71"/>
      <c r="AP181" s="71"/>
      <c r="AQ181" s="71"/>
      <c r="AR181" s="71"/>
    </row>
    <row r="182" ht="14.2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71"/>
      <c r="AJ182" s="71"/>
      <c r="AK182" s="71"/>
      <c r="AL182" s="71"/>
      <c r="AM182" s="71"/>
      <c r="AN182" s="71"/>
      <c r="AO182" s="71"/>
      <c r="AP182" s="71"/>
      <c r="AQ182" s="71"/>
      <c r="AR182" s="71"/>
    </row>
    <row r="183" ht="14.2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71"/>
      <c r="AJ183" s="71"/>
      <c r="AK183" s="71"/>
      <c r="AL183" s="71"/>
      <c r="AM183" s="71"/>
      <c r="AN183" s="71"/>
      <c r="AO183" s="71"/>
      <c r="AP183" s="71"/>
      <c r="AQ183" s="71"/>
      <c r="AR183" s="71"/>
    </row>
    <row r="184" ht="14.2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71"/>
      <c r="AJ184" s="71"/>
      <c r="AK184" s="71"/>
      <c r="AL184" s="71"/>
      <c r="AM184" s="71"/>
      <c r="AN184" s="71"/>
      <c r="AO184" s="71"/>
      <c r="AP184" s="71"/>
      <c r="AQ184" s="71"/>
      <c r="AR184" s="71"/>
    </row>
    <row r="185" ht="14.2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71"/>
      <c r="AJ185" s="71"/>
      <c r="AK185" s="71"/>
      <c r="AL185" s="71"/>
      <c r="AM185" s="71"/>
      <c r="AN185" s="71"/>
      <c r="AO185" s="71"/>
      <c r="AP185" s="71"/>
      <c r="AQ185" s="71"/>
      <c r="AR185" s="71"/>
    </row>
    <row r="186" ht="14.2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71"/>
      <c r="AJ186" s="71"/>
      <c r="AK186" s="71"/>
      <c r="AL186" s="71"/>
      <c r="AM186" s="71"/>
      <c r="AN186" s="71"/>
      <c r="AO186" s="71"/>
      <c r="AP186" s="71"/>
      <c r="AQ186" s="71"/>
      <c r="AR186" s="71"/>
    </row>
    <row r="187" ht="14.2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71"/>
      <c r="AJ187" s="71"/>
      <c r="AK187" s="71"/>
      <c r="AL187" s="71"/>
      <c r="AM187" s="71"/>
      <c r="AN187" s="71"/>
      <c r="AO187" s="71"/>
      <c r="AP187" s="71"/>
      <c r="AQ187" s="71"/>
      <c r="AR187" s="71"/>
    </row>
    <row r="188" ht="14.2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/>
      <c r="AJ188" s="71"/>
      <c r="AK188" s="71"/>
      <c r="AL188" s="71"/>
      <c r="AM188" s="71"/>
      <c r="AN188" s="71"/>
      <c r="AO188" s="71"/>
      <c r="AP188" s="71"/>
      <c r="AQ188" s="71"/>
      <c r="AR188" s="71"/>
    </row>
    <row r="189" ht="14.2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71"/>
      <c r="AJ189" s="71"/>
      <c r="AK189" s="71"/>
      <c r="AL189" s="71"/>
      <c r="AM189" s="71"/>
      <c r="AN189" s="71"/>
      <c r="AO189" s="71"/>
      <c r="AP189" s="71"/>
      <c r="AQ189" s="71"/>
      <c r="AR189" s="71"/>
    </row>
    <row r="190" ht="14.2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71"/>
      <c r="AJ190" s="71"/>
      <c r="AK190" s="71"/>
      <c r="AL190" s="71"/>
      <c r="AM190" s="71"/>
      <c r="AN190" s="71"/>
      <c r="AO190" s="71"/>
      <c r="AP190" s="71"/>
      <c r="AQ190" s="71"/>
      <c r="AR190" s="71"/>
    </row>
    <row r="191" ht="14.2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71"/>
      <c r="AJ191" s="71"/>
      <c r="AK191" s="71"/>
      <c r="AL191" s="71"/>
      <c r="AM191" s="71"/>
      <c r="AN191" s="71"/>
      <c r="AO191" s="71"/>
      <c r="AP191" s="71"/>
      <c r="AQ191" s="71"/>
      <c r="AR191" s="71"/>
    </row>
    <row r="192" ht="14.2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71"/>
      <c r="AJ192" s="71"/>
      <c r="AK192" s="71"/>
      <c r="AL192" s="71"/>
      <c r="AM192" s="71"/>
      <c r="AN192" s="71"/>
      <c r="AO192" s="71"/>
      <c r="AP192" s="71"/>
      <c r="AQ192" s="71"/>
      <c r="AR192" s="71"/>
    </row>
    <row r="193" ht="14.2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71"/>
      <c r="AJ193" s="71"/>
      <c r="AK193" s="71"/>
      <c r="AL193" s="71"/>
      <c r="AM193" s="71"/>
      <c r="AN193" s="71"/>
      <c r="AO193" s="71"/>
      <c r="AP193" s="71"/>
      <c r="AQ193" s="71"/>
      <c r="AR193" s="71"/>
    </row>
    <row r="194" ht="14.2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71"/>
      <c r="AJ194" s="71"/>
      <c r="AK194" s="71"/>
      <c r="AL194" s="71"/>
      <c r="AM194" s="71"/>
      <c r="AN194" s="71"/>
      <c r="AO194" s="71"/>
      <c r="AP194" s="71"/>
      <c r="AQ194" s="71"/>
      <c r="AR194" s="71"/>
    </row>
    <row r="195" ht="14.2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71"/>
      <c r="AJ195" s="71"/>
      <c r="AK195" s="71"/>
      <c r="AL195" s="71"/>
      <c r="AM195" s="71"/>
      <c r="AN195" s="71"/>
      <c r="AO195" s="71"/>
      <c r="AP195" s="71"/>
      <c r="AQ195" s="71"/>
      <c r="AR195" s="71"/>
    </row>
    <row r="196" ht="14.2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71"/>
      <c r="AJ196" s="71"/>
      <c r="AK196" s="71"/>
      <c r="AL196" s="71"/>
      <c r="AM196" s="71"/>
      <c r="AN196" s="71"/>
      <c r="AO196" s="71"/>
      <c r="AP196" s="71"/>
      <c r="AQ196" s="71"/>
      <c r="AR196" s="71"/>
    </row>
    <row r="197" ht="14.2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71"/>
      <c r="AJ197" s="71"/>
      <c r="AK197" s="71"/>
      <c r="AL197" s="71"/>
      <c r="AM197" s="71"/>
      <c r="AN197" s="71"/>
      <c r="AO197" s="71"/>
      <c r="AP197" s="71"/>
      <c r="AQ197" s="71"/>
      <c r="AR197" s="71"/>
    </row>
    <row r="198" ht="14.2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71"/>
      <c r="AJ198" s="71"/>
      <c r="AK198" s="71"/>
      <c r="AL198" s="71"/>
      <c r="AM198" s="71"/>
      <c r="AN198" s="71"/>
      <c r="AO198" s="71"/>
      <c r="AP198" s="71"/>
      <c r="AQ198" s="71"/>
      <c r="AR198" s="71"/>
    </row>
    <row r="199" ht="14.2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71"/>
      <c r="AJ199" s="71"/>
      <c r="AK199" s="71"/>
      <c r="AL199" s="71"/>
      <c r="AM199" s="71"/>
      <c r="AN199" s="71"/>
      <c r="AO199" s="71"/>
      <c r="AP199" s="71"/>
      <c r="AQ199" s="71"/>
      <c r="AR199" s="71"/>
    </row>
    <row r="200" ht="14.2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71"/>
      <c r="AJ200" s="71"/>
      <c r="AK200" s="71"/>
      <c r="AL200" s="71"/>
      <c r="AM200" s="71"/>
      <c r="AN200" s="71"/>
      <c r="AO200" s="71"/>
      <c r="AP200" s="71"/>
      <c r="AQ200" s="71"/>
      <c r="AR200" s="71"/>
    </row>
    <row r="201" ht="14.2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71"/>
      <c r="AJ201" s="71"/>
      <c r="AK201" s="71"/>
      <c r="AL201" s="71"/>
      <c r="AM201" s="71"/>
      <c r="AN201" s="71"/>
      <c r="AO201" s="71"/>
      <c r="AP201" s="71"/>
      <c r="AQ201" s="71"/>
      <c r="AR201" s="71"/>
    </row>
    <row r="202" ht="14.2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71"/>
      <c r="AJ202" s="71"/>
      <c r="AK202" s="71"/>
      <c r="AL202" s="71"/>
      <c r="AM202" s="71"/>
      <c r="AN202" s="71"/>
      <c r="AO202" s="71"/>
      <c r="AP202" s="71"/>
      <c r="AQ202" s="71"/>
      <c r="AR202" s="71"/>
    </row>
    <row r="203" ht="14.2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71"/>
      <c r="AK203" s="71"/>
      <c r="AL203" s="71"/>
      <c r="AM203" s="71"/>
      <c r="AN203" s="71"/>
      <c r="AO203" s="71"/>
      <c r="AP203" s="71"/>
      <c r="AQ203" s="71"/>
      <c r="AR203" s="71"/>
    </row>
    <row r="204" ht="14.2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71"/>
      <c r="AK204" s="71"/>
      <c r="AL204" s="71"/>
      <c r="AM204" s="71"/>
      <c r="AN204" s="71"/>
      <c r="AO204" s="71"/>
      <c r="AP204" s="71"/>
      <c r="AQ204" s="71"/>
      <c r="AR204" s="71"/>
    </row>
    <row r="205" ht="14.2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1"/>
      <c r="AL205" s="71"/>
      <c r="AM205" s="71"/>
      <c r="AN205" s="71"/>
      <c r="AO205" s="71"/>
      <c r="AP205" s="71"/>
      <c r="AQ205" s="71"/>
      <c r="AR205" s="71"/>
    </row>
    <row r="206" ht="14.2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1"/>
      <c r="AL206" s="71"/>
      <c r="AM206" s="71"/>
      <c r="AN206" s="71"/>
      <c r="AO206" s="71"/>
      <c r="AP206" s="71"/>
      <c r="AQ206" s="71"/>
      <c r="AR206" s="71"/>
    </row>
    <row r="207" ht="14.2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1"/>
      <c r="AL207" s="71"/>
      <c r="AM207" s="71"/>
      <c r="AN207" s="71"/>
      <c r="AO207" s="71"/>
      <c r="AP207" s="71"/>
      <c r="AQ207" s="71"/>
      <c r="AR207" s="71"/>
    </row>
    <row r="208" ht="14.2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1"/>
      <c r="AL208" s="71"/>
      <c r="AM208" s="71"/>
      <c r="AN208" s="71"/>
      <c r="AO208" s="71"/>
      <c r="AP208" s="71"/>
      <c r="AQ208" s="71"/>
      <c r="AR208" s="71"/>
    </row>
    <row r="209" ht="14.2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1"/>
      <c r="AL209" s="71"/>
      <c r="AM209" s="71"/>
      <c r="AN209" s="71"/>
      <c r="AO209" s="71"/>
      <c r="AP209" s="71"/>
      <c r="AQ209" s="71"/>
      <c r="AR209" s="71"/>
    </row>
    <row r="210" ht="14.2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  <c r="AO210" s="71"/>
      <c r="AP210" s="71"/>
      <c r="AQ210" s="71"/>
      <c r="AR210" s="71"/>
    </row>
    <row r="211" ht="14.2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  <c r="AO211" s="71"/>
      <c r="AP211" s="71"/>
      <c r="AQ211" s="71"/>
      <c r="AR211" s="71"/>
    </row>
    <row r="212" ht="14.2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1"/>
      <c r="AL212" s="71"/>
      <c r="AM212" s="71"/>
      <c r="AN212" s="71"/>
      <c r="AO212" s="71"/>
      <c r="AP212" s="71"/>
      <c r="AQ212" s="71"/>
      <c r="AR212" s="71"/>
    </row>
    <row r="213" ht="14.2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  <c r="AL213" s="71"/>
      <c r="AM213" s="71"/>
      <c r="AN213" s="71"/>
      <c r="AO213" s="71"/>
      <c r="AP213" s="71"/>
      <c r="AQ213" s="71"/>
      <c r="AR213" s="71"/>
    </row>
    <row r="214" ht="14.2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  <c r="AK214" s="71"/>
      <c r="AL214" s="71"/>
      <c r="AM214" s="71"/>
      <c r="AN214" s="71"/>
      <c r="AO214" s="71"/>
      <c r="AP214" s="71"/>
      <c r="AQ214" s="71"/>
      <c r="AR214" s="71"/>
    </row>
    <row r="215" ht="14.2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  <c r="AP215" s="71"/>
      <c r="AQ215" s="71"/>
      <c r="AR215" s="71"/>
    </row>
    <row r="216" ht="14.2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  <c r="AP216" s="71"/>
      <c r="AQ216" s="71"/>
      <c r="AR216" s="71"/>
    </row>
    <row r="217" ht="14.2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1"/>
      <c r="AQ217" s="71"/>
      <c r="AR217" s="71"/>
    </row>
    <row r="218" ht="14.2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  <c r="AK218" s="71"/>
      <c r="AL218" s="71"/>
      <c r="AM218" s="71"/>
      <c r="AN218" s="71"/>
      <c r="AO218" s="71"/>
      <c r="AP218" s="71"/>
      <c r="AQ218" s="71"/>
      <c r="AR218" s="71"/>
    </row>
    <row r="219" ht="14.2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  <c r="AK219" s="71"/>
      <c r="AL219" s="71"/>
      <c r="AM219" s="71"/>
      <c r="AN219" s="71"/>
      <c r="AO219" s="71"/>
      <c r="AP219" s="71"/>
      <c r="AQ219" s="71"/>
      <c r="AR219" s="71"/>
    </row>
    <row r="220" ht="14.2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  <c r="AP220" s="71"/>
      <c r="AQ220" s="71"/>
      <c r="AR220" s="71"/>
    </row>
    <row r="221" ht="15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  <c r="AP221" s="71"/>
      <c r="AQ221" s="71"/>
      <c r="AR221" s="71"/>
    </row>
    <row r="222" ht="15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</row>
    <row r="223" ht="15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1"/>
      <c r="AQ223" s="71"/>
      <c r="AR223" s="71"/>
    </row>
    <row r="224" ht="15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1"/>
      <c r="AQ224" s="71"/>
      <c r="AR224" s="71"/>
    </row>
    <row r="225" ht="15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1"/>
      <c r="AQ225" s="71"/>
      <c r="AR225" s="71"/>
    </row>
    <row r="226" ht="15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1"/>
      <c r="AQ226" s="71"/>
      <c r="AR226" s="71"/>
    </row>
    <row r="227" ht="15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1"/>
      <c r="AQ227" s="71"/>
      <c r="AR227" s="71"/>
    </row>
    <row r="228" ht="15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1"/>
      <c r="AQ228" s="71"/>
      <c r="AR228" s="71"/>
    </row>
    <row r="229" ht="15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1"/>
      <c r="AQ229" s="71"/>
      <c r="AR229" s="71"/>
    </row>
    <row r="230" ht="15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</row>
    <row r="231" ht="15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</row>
    <row r="232" ht="15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</row>
    <row r="233" ht="15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</row>
    <row r="234" ht="15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</row>
    <row r="235" ht="15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</row>
    <row r="236" ht="15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</row>
    <row r="237" ht="15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</row>
    <row r="238" ht="15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71"/>
      <c r="AJ238" s="71"/>
      <c r="AK238" s="71"/>
      <c r="AL238" s="71"/>
      <c r="AM238" s="71"/>
      <c r="AN238" s="71"/>
      <c r="AO238" s="71"/>
      <c r="AP238" s="71"/>
      <c r="AQ238" s="71"/>
      <c r="AR238" s="71"/>
    </row>
    <row r="239" ht="15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71"/>
      <c r="AK239" s="71"/>
      <c r="AL239" s="71"/>
      <c r="AM239" s="71"/>
      <c r="AN239" s="71"/>
      <c r="AO239" s="71"/>
      <c r="AP239" s="71"/>
      <c r="AQ239" s="71"/>
      <c r="AR239" s="71"/>
    </row>
    <row r="240" ht="15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71"/>
      <c r="AK240" s="71"/>
      <c r="AL240" s="71"/>
      <c r="AM240" s="71"/>
      <c r="AN240" s="71"/>
      <c r="AO240" s="71"/>
      <c r="AP240" s="71"/>
      <c r="AQ240" s="71"/>
      <c r="AR240" s="71"/>
    </row>
    <row r="241" ht="15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71"/>
      <c r="AJ241" s="71"/>
      <c r="AK241" s="71"/>
      <c r="AL241" s="71"/>
      <c r="AM241" s="71"/>
      <c r="AN241" s="71"/>
      <c r="AO241" s="71"/>
      <c r="AP241" s="71"/>
      <c r="AQ241" s="71"/>
      <c r="AR241" s="71"/>
    </row>
    <row r="242" ht="15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  <c r="AK242" s="71"/>
      <c r="AL242" s="71"/>
      <c r="AM242" s="71"/>
      <c r="AN242" s="71"/>
      <c r="AO242" s="71"/>
      <c r="AP242" s="71"/>
      <c r="AQ242" s="71"/>
      <c r="AR242" s="71"/>
    </row>
    <row r="243" ht="15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71"/>
      <c r="AK243" s="71"/>
      <c r="AL243" s="71"/>
      <c r="AM243" s="71"/>
      <c r="AN243" s="71"/>
      <c r="AO243" s="71"/>
      <c r="AP243" s="71"/>
      <c r="AQ243" s="71"/>
      <c r="AR243" s="71"/>
    </row>
    <row r="244" ht="15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71"/>
      <c r="AJ244" s="71"/>
      <c r="AK244" s="71"/>
      <c r="AL244" s="71"/>
      <c r="AM244" s="71"/>
      <c r="AN244" s="71"/>
      <c r="AO244" s="71"/>
      <c r="AP244" s="71"/>
      <c r="AQ244" s="71"/>
      <c r="AR244" s="71"/>
    </row>
    <row r="245" ht="15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  <c r="AK245" s="71"/>
      <c r="AL245" s="71"/>
      <c r="AM245" s="71"/>
      <c r="AN245" s="71"/>
      <c r="AO245" s="71"/>
      <c r="AP245" s="71"/>
      <c r="AQ245" s="71"/>
      <c r="AR245" s="71"/>
    </row>
    <row r="246" ht="15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71"/>
      <c r="AK246" s="71"/>
      <c r="AL246" s="71"/>
      <c r="AM246" s="71"/>
      <c r="AN246" s="71"/>
      <c r="AO246" s="71"/>
      <c r="AP246" s="71"/>
      <c r="AQ246" s="71"/>
      <c r="AR246" s="71"/>
    </row>
    <row r="247" ht="15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71"/>
      <c r="AJ247" s="71"/>
      <c r="AK247" s="71"/>
      <c r="AL247" s="71"/>
      <c r="AM247" s="71"/>
      <c r="AN247" s="71"/>
      <c r="AO247" s="71"/>
      <c r="AP247" s="71"/>
      <c r="AQ247" s="71"/>
      <c r="AR247" s="71"/>
    </row>
    <row r="248" ht="15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1"/>
      <c r="AL248" s="71"/>
      <c r="AM248" s="71"/>
      <c r="AN248" s="71"/>
      <c r="AO248" s="71"/>
      <c r="AP248" s="71"/>
      <c r="AQ248" s="71"/>
      <c r="AR248" s="71"/>
    </row>
    <row r="249" ht="15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J249" s="71"/>
      <c r="AK249" s="71"/>
      <c r="AL249" s="71"/>
      <c r="AM249" s="71"/>
      <c r="AN249" s="71"/>
      <c r="AO249" s="71"/>
      <c r="AP249" s="71"/>
      <c r="AQ249" s="71"/>
      <c r="AR249" s="71"/>
    </row>
    <row r="250" ht="15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71"/>
      <c r="AJ250" s="71"/>
      <c r="AK250" s="71"/>
      <c r="AL250" s="71"/>
      <c r="AM250" s="71"/>
      <c r="AN250" s="71"/>
      <c r="AO250" s="71"/>
      <c r="AP250" s="71"/>
      <c r="AQ250" s="71"/>
      <c r="AR250" s="71"/>
    </row>
    <row r="251" ht="15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71"/>
      <c r="AJ251" s="71"/>
      <c r="AK251" s="71"/>
      <c r="AL251" s="71"/>
      <c r="AM251" s="71"/>
      <c r="AN251" s="71"/>
      <c r="AO251" s="71"/>
      <c r="AP251" s="71"/>
      <c r="AQ251" s="71"/>
      <c r="AR251" s="71"/>
    </row>
    <row r="252" ht="15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71"/>
      <c r="AJ252" s="71"/>
      <c r="AK252" s="71"/>
      <c r="AL252" s="71"/>
      <c r="AM252" s="71"/>
      <c r="AN252" s="71"/>
      <c r="AO252" s="71"/>
      <c r="AP252" s="71"/>
      <c r="AQ252" s="71"/>
      <c r="AR252" s="71"/>
    </row>
    <row r="253" ht="15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J253" s="71"/>
      <c r="AK253" s="71"/>
      <c r="AL253" s="71"/>
      <c r="AM253" s="71"/>
      <c r="AN253" s="71"/>
      <c r="AO253" s="71"/>
      <c r="AP253" s="71"/>
      <c r="AQ253" s="71"/>
      <c r="AR253" s="71"/>
    </row>
    <row r="254" ht="15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71"/>
      <c r="AJ254" s="71"/>
      <c r="AK254" s="71"/>
      <c r="AL254" s="71"/>
      <c r="AM254" s="71"/>
      <c r="AN254" s="71"/>
      <c r="AO254" s="71"/>
      <c r="AP254" s="71"/>
      <c r="AQ254" s="71"/>
      <c r="AR254" s="71"/>
    </row>
    <row r="255" ht="15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J255" s="71"/>
      <c r="AK255" s="71"/>
      <c r="AL255" s="71"/>
      <c r="AM255" s="71"/>
      <c r="AN255" s="71"/>
      <c r="AO255" s="71"/>
      <c r="AP255" s="71"/>
      <c r="AQ255" s="71"/>
      <c r="AR255" s="71"/>
    </row>
    <row r="256" ht="15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71"/>
      <c r="AJ256" s="71"/>
      <c r="AK256" s="71"/>
      <c r="AL256" s="71"/>
      <c r="AM256" s="71"/>
      <c r="AN256" s="71"/>
      <c r="AO256" s="71"/>
      <c r="AP256" s="71"/>
      <c r="AQ256" s="71"/>
      <c r="AR256" s="71"/>
    </row>
    <row r="257" ht="15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71"/>
      <c r="AJ257" s="71"/>
      <c r="AK257" s="71"/>
      <c r="AL257" s="71"/>
      <c r="AM257" s="71"/>
      <c r="AN257" s="71"/>
      <c r="AO257" s="71"/>
      <c r="AP257" s="71"/>
      <c r="AQ257" s="71"/>
      <c r="AR257" s="71"/>
    </row>
    <row r="258" ht="15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71"/>
      <c r="AJ258" s="71"/>
      <c r="AK258" s="71"/>
      <c r="AL258" s="71"/>
      <c r="AM258" s="71"/>
      <c r="AN258" s="71"/>
      <c r="AO258" s="71"/>
      <c r="AP258" s="71"/>
      <c r="AQ258" s="71"/>
      <c r="AR258" s="71"/>
    </row>
    <row r="259" ht="15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71"/>
      <c r="AJ259" s="71"/>
      <c r="AK259" s="71"/>
      <c r="AL259" s="71"/>
      <c r="AM259" s="71"/>
      <c r="AN259" s="71"/>
      <c r="AO259" s="71"/>
      <c r="AP259" s="71"/>
      <c r="AQ259" s="71"/>
      <c r="AR259" s="71"/>
    </row>
    <row r="260" ht="15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71"/>
      <c r="AJ260" s="71"/>
      <c r="AK260" s="71"/>
      <c r="AL260" s="71"/>
      <c r="AM260" s="71"/>
      <c r="AN260" s="71"/>
      <c r="AO260" s="71"/>
      <c r="AP260" s="71"/>
      <c r="AQ260" s="71"/>
      <c r="AR260" s="71"/>
    </row>
    <row r="261" ht="15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71"/>
      <c r="AJ261" s="71"/>
      <c r="AK261" s="71"/>
      <c r="AL261" s="71"/>
      <c r="AM261" s="71"/>
      <c r="AN261" s="71"/>
      <c r="AO261" s="71"/>
      <c r="AP261" s="71"/>
      <c r="AQ261" s="71"/>
      <c r="AR261" s="71"/>
    </row>
    <row r="262" ht="15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71"/>
      <c r="AJ262" s="71"/>
      <c r="AK262" s="71"/>
      <c r="AL262" s="71"/>
      <c r="AM262" s="71"/>
      <c r="AN262" s="71"/>
      <c r="AO262" s="71"/>
      <c r="AP262" s="71"/>
      <c r="AQ262" s="71"/>
      <c r="AR262" s="71"/>
    </row>
    <row r="263" ht="15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71"/>
      <c r="AJ263" s="71"/>
      <c r="AK263" s="71"/>
      <c r="AL263" s="71"/>
      <c r="AM263" s="71"/>
      <c r="AN263" s="71"/>
      <c r="AO263" s="71"/>
      <c r="AP263" s="71"/>
      <c r="AQ263" s="71"/>
      <c r="AR263" s="71"/>
    </row>
    <row r="264" ht="15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71"/>
      <c r="AJ264" s="71"/>
      <c r="AK264" s="71"/>
      <c r="AL264" s="71"/>
      <c r="AM264" s="71"/>
      <c r="AN264" s="71"/>
      <c r="AO264" s="71"/>
      <c r="AP264" s="71"/>
      <c r="AQ264" s="71"/>
      <c r="AR264" s="71"/>
    </row>
    <row r="265" ht="15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71"/>
      <c r="AJ265" s="71"/>
      <c r="AK265" s="71"/>
      <c r="AL265" s="71"/>
      <c r="AM265" s="71"/>
      <c r="AN265" s="71"/>
      <c r="AO265" s="71"/>
      <c r="AP265" s="71"/>
      <c r="AQ265" s="71"/>
      <c r="AR265" s="71"/>
    </row>
    <row r="266" ht="15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71"/>
      <c r="AJ266" s="71"/>
      <c r="AK266" s="71"/>
      <c r="AL266" s="71"/>
      <c r="AM266" s="71"/>
      <c r="AN266" s="71"/>
      <c r="AO266" s="71"/>
      <c r="AP266" s="71"/>
      <c r="AQ266" s="71"/>
      <c r="AR266" s="71"/>
    </row>
    <row r="267" ht="15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71"/>
      <c r="AJ267" s="71"/>
      <c r="AK267" s="71"/>
      <c r="AL267" s="71"/>
      <c r="AM267" s="71"/>
      <c r="AN267" s="71"/>
      <c r="AO267" s="71"/>
      <c r="AP267" s="71"/>
      <c r="AQ267" s="71"/>
      <c r="AR267" s="71"/>
    </row>
    <row r="268" ht="15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71"/>
      <c r="AJ268" s="71"/>
      <c r="AK268" s="71"/>
      <c r="AL268" s="71"/>
      <c r="AM268" s="71"/>
      <c r="AN268" s="71"/>
      <c r="AO268" s="71"/>
      <c r="AP268" s="71"/>
      <c r="AQ268" s="71"/>
      <c r="AR268" s="71"/>
    </row>
    <row r="269" ht="15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71"/>
      <c r="AJ269" s="71"/>
      <c r="AK269" s="71"/>
      <c r="AL269" s="71"/>
      <c r="AM269" s="71"/>
      <c r="AN269" s="71"/>
      <c r="AO269" s="71"/>
      <c r="AP269" s="71"/>
      <c r="AQ269" s="71"/>
      <c r="AR269" s="71"/>
    </row>
    <row r="270" ht="15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71"/>
      <c r="AJ270" s="71"/>
      <c r="AK270" s="71"/>
      <c r="AL270" s="71"/>
      <c r="AM270" s="71"/>
      <c r="AN270" s="71"/>
      <c r="AO270" s="71"/>
      <c r="AP270" s="71"/>
      <c r="AQ270" s="71"/>
      <c r="AR270" s="71"/>
    </row>
    <row r="271" ht="15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71"/>
      <c r="AJ271" s="71"/>
      <c r="AK271" s="71"/>
      <c r="AL271" s="71"/>
      <c r="AM271" s="71"/>
      <c r="AN271" s="71"/>
      <c r="AO271" s="71"/>
      <c r="AP271" s="71"/>
      <c r="AQ271" s="71"/>
      <c r="AR271" s="71"/>
    </row>
    <row r="272" ht="15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71"/>
      <c r="AJ272" s="71"/>
      <c r="AK272" s="71"/>
      <c r="AL272" s="71"/>
      <c r="AM272" s="71"/>
      <c r="AN272" s="71"/>
      <c r="AO272" s="71"/>
      <c r="AP272" s="71"/>
      <c r="AQ272" s="71"/>
      <c r="AR272" s="71"/>
    </row>
    <row r="273" ht="15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71"/>
      <c r="AJ273" s="71"/>
      <c r="AK273" s="71"/>
      <c r="AL273" s="71"/>
      <c r="AM273" s="71"/>
      <c r="AN273" s="71"/>
      <c r="AO273" s="71"/>
      <c r="AP273" s="71"/>
      <c r="AQ273" s="71"/>
      <c r="AR273" s="71"/>
    </row>
    <row r="274" ht="15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71"/>
      <c r="AJ274" s="71"/>
      <c r="AK274" s="71"/>
      <c r="AL274" s="71"/>
      <c r="AM274" s="71"/>
      <c r="AN274" s="71"/>
      <c r="AO274" s="71"/>
      <c r="AP274" s="71"/>
      <c r="AQ274" s="71"/>
      <c r="AR274" s="71"/>
    </row>
    <row r="275" ht="15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71"/>
      <c r="AJ275" s="71"/>
      <c r="AK275" s="71"/>
      <c r="AL275" s="71"/>
      <c r="AM275" s="71"/>
      <c r="AN275" s="71"/>
      <c r="AO275" s="71"/>
      <c r="AP275" s="71"/>
      <c r="AQ275" s="71"/>
      <c r="AR275" s="71"/>
    </row>
    <row r="276" ht="15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71"/>
      <c r="AJ276" s="71"/>
      <c r="AK276" s="71"/>
      <c r="AL276" s="71"/>
      <c r="AM276" s="71"/>
      <c r="AN276" s="71"/>
      <c r="AO276" s="71"/>
      <c r="AP276" s="71"/>
      <c r="AQ276" s="71"/>
      <c r="AR276" s="71"/>
    </row>
    <row r="277" ht="15.75" customHeight="1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71"/>
      <c r="AJ277" s="71"/>
      <c r="AK277" s="71"/>
      <c r="AL277" s="71"/>
      <c r="AM277" s="71"/>
      <c r="AN277" s="71"/>
      <c r="AO277" s="71"/>
      <c r="AP277" s="71"/>
      <c r="AQ277" s="71"/>
      <c r="AR277" s="71"/>
    </row>
    <row r="278" ht="15.75" customHeight="1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71"/>
      <c r="AJ278" s="71"/>
      <c r="AK278" s="71"/>
      <c r="AL278" s="71"/>
      <c r="AM278" s="71"/>
      <c r="AN278" s="71"/>
      <c r="AO278" s="71"/>
      <c r="AP278" s="71"/>
      <c r="AQ278" s="71"/>
      <c r="AR278" s="71"/>
    </row>
    <row r="279" ht="15.75" customHeight="1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71"/>
      <c r="AJ279" s="71"/>
      <c r="AK279" s="71"/>
      <c r="AL279" s="71"/>
      <c r="AM279" s="71"/>
      <c r="AN279" s="71"/>
      <c r="AO279" s="71"/>
      <c r="AP279" s="71"/>
      <c r="AQ279" s="71"/>
      <c r="AR279" s="71"/>
    </row>
    <row r="280" ht="15.75" customHeight="1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  <c r="AK280" s="71"/>
      <c r="AL280" s="71"/>
      <c r="AM280" s="71"/>
      <c r="AN280" s="71"/>
      <c r="AO280" s="71"/>
      <c r="AP280" s="71"/>
      <c r="AQ280" s="71"/>
      <c r="AR280" s="71"/>
    </row>
    <row r="281" ht="15.75" customHeight="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71"/>
      <c r="AJ281" s="71"/>
      <c r="AK281" s="71"/>
      <c r="AL281" s="71"/>
      <c r="AM281" s="71"/>
      <c r="AN281" s="71"/>
      <c r="AO281" s="71"/>
      <c r="AP281" s="71"/>
      <c r="AQ281" s="71"/>
      <c r="AR281" s="71"/>
    </row>
    <row r="282" ht="15.75" customHeight="1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71"/>
      <c r="AJ282" s="71"/>
      <c r="AK282" s="71"/>
      <c r="AL282" s="71"/>
      <c r="AM282" s="71"/>
      <c r="AN282" s="71"/>
      <c r="AO282" s="71"/>
      <c r="AP282" s="71"/>
      <c r="AQ282" s="71"/>
      <c r="AR282" s="71"/>
    </row>
    <row r="283" ht="15.75" customHeight="1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71"/>
      <c r="AJ283" s="71"/>
      <c r="AK283" s="71"/>
      <c r="AL283" s="71"/>
      <c r="AM283" s="71"/>
      <c r="AN283" s="71"/>
      <c r="AO283" s="71"/>
      <c r="AP283" s="71"/>
      <c r="AQ283" s="71"/>
      <c r="AR283" s="71"/>
    </row>
    <row r="284" ht="15.75" customHeight="1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71"/>
      <c r="AJ284" s="71"/>
      <c r="AK284" s="71"/>
      <c r="AL284" s="71"/>
      <c r="AM284" s="71"/>
      <c r="AN284" s="71"/>
      <c r="AO284" s="71"/>
      <c r="AP284" s="71"/>
      <c r="AQ284" s="71"/>
      <c r="AR284" s="71"/>
    </row>
    <row r="285" ht="15.75" customHeight="1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71"/>
      <c r="AJ285" s="71"/>
      <c r="AK285" s="71"/>
      <c r="AL285" s="71"/>
      <c r="AM285" s="71"/>
      <c r="AN285" s="71"/>
      <c r="AO285" s="71"/>
      <c r="AP285" s="71"/>
      <c r="AQ285" s="71"/>
      <c r="AR285" s="71"/>
    </row>
    <row r="286" ht="15.75" customHeight="1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71"/>
      <c r="AJ286" s="71"/>
      <c r="AK286" s="71"/>
      <c r="AL286" s="71"/>
      <c r="AM286" s="71"/>
      <c r="AN286" s="71"/>
      <c r="AO286" s="71"/>
      <c r="AP286" s="71"/>
      <c r="AQ286" s="71"/>
      <c r="AR286" s="71"/>
    </row>
    <row r="287" ht="15.75" customHeight="1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71"/>
      <c r="AJ287" s="71"/>
      <c r="AK287" s="71"/>
      <c r="AL287" s="71"/>
      <c r="AM287" s="71"/>
      <c r="AN287" s="71"/>
      <c r="AO287" s="71"/>
      <c r="AP287" s="71"/>
      <c r="AQ287" s="71"/>
      <c r="AR287" s="71"/>
    </row>
    <row r="288" ht="15.75" customHeight="1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71"/>
      <c r="AJ288" s="71"/>
      <c r="AK288" s="71"/>
      <c r="AL288" s="71"/>
      <c r="AM288" s="71"/>
      <c r="AN288" s="71"/>
      <c r="AO288" s="71"/>
      <c r="AP288" s="71"/>
      <c r="AQ288" s="71"/>
      <c r="AR288" s="71"/>
    </row>
    <row r="289" ht="15.75" customHeight="1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71"/>
      <c r="AJ289" s="71"/>
      <c r="AK289" s="71"/>
      <c r="AL289" s="71"/>
      <c r="AM289" s="71"/>
      <c r="AN289" s="71"/>
      <c r="AO289" s="71"/>
      <c r="AP289" s="71"/>
      <c r="AQ289" s="71"/>
      <c r="AR289" s="71"/>
    </row>
    <row r="290" ht="15.75" customHeight="1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71"/>
      <c r="AJ290" s="71"/>
      <c r="AK290" s="71"/>
      <c r="AL290" s="71"/>
      <c r="AM290" s="71"/>
      <c r="AN290" s="71"/>
      <c r="AO290" s="71"/>
      <c r="AP290" s="71"/>
      <c r="AQ290" s="71"/>
      <c r="AR290" s="71"/>
    </row>
    <row r="291" ht="15.75" customHeight="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71"/>
      <c r="AJ291" s="71"/>
      <c r="AK291" s="71"/>
      <c r="AL291" s="71"/>
      <c r="AM291" s="71"/>
      <c r="AN291" s="71"/>
      <c r="AO291" s="71"/>
      <c r="AP291" s="71"/>
      <c r="AQ291" s="71"/>
      <c r="AR291" s="71"/>
    </row>
    <row r="292" ht="15.75" customHeight="1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  <c r="AR292" s="71"/>
    </row>
    <row r="293" ht="15.75" customHeight="1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</row>
    <row r="294" ht="15.75" customHeight="1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</row>
    <row r="295" ht="15.75" customHeight="1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</row>
    <row r="296" ht="15.75" customHeight="1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</row>
    <row r="297" ht="15.75" customHeight="1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</row>
    <row r="298" ht="15.75" customHeight="1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</row>
    <row r="299" ht="15.75" customHeight="1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</row>
    <row r="300" ht="15.75" customHeight="1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</row>
    <row r="301" ht="15.75" customHeight="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</row>
    <row r="302" ht="15.75" customHeight="1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71"/>
      <c r="AJ302" s="71"/>
      <c r="AK302" s="71"/>
      <c r="AL302" s="71"/>
      <c r="AM302" s="71"/>
      <c r="AN302" s="71"/>
      <c r="AO302" s="71"/>
      <c r="AP302" s="71"/>
      <c r="AQ302" s="71"/>
      <c r="AR302" s="71"/>
    </row>
    <row r="303" ht="15.75" customHeight="1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71"/>
      <c r="AJ303" s="71"/>
      <c r="AK303" s="71"/>
      <c r="AL303" s="71"/>
      <c r="AM303" s="71"/>
      <c r="AN303" s="71"/>
      <c r="AO303" s="71"/>
      <c r="AP303" s="71"/>
      <c r="AQ303" s="71"/>
      <c r="AR303" s="71"/>
    </row>
    <row r="304" ht="15.75" customHeight="1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  <c r="AL304" s="71"/>
      <c r="AM304" s="71"/>
      <c r="AN304" s="71"/>
      <c r="AO304" s="71"/>
      <c r="AP304" s="71"/>
      <c r="AQ304" s="71"/>
      <c r="AR304" s="71"/>
    </row>
    <row r="305" ht="15.75" customHeight="1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1"/>
      <c r="AL305" s="71"/>
      <c r="AM305" s="71"/>
      <c r="AN305" s="71"/>
      <c r="AO305" s="71"/>
      <c r="AP305" s="71"/>
      <c r="AQ305" s="71"/>
      <c r="AR305" s="71"/>
    </row>
    <row r="306" ht="15.75" customHeight="1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71"/>
      <c r="AK306" s="71"/>
      <c r="AL306" s="71"/>
      <c r="AM306" s="71"/>
      <c r="AN306" s="71"/>
      <c r="AO306" s="71"/>
      <c r="AP306" s="71"/>
      <c r="AQ306" s="71"/>
      <c r="AR306" s="71"/>
    </row>
    <row r="307" ht="15.75" customHeight="1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</row>
    <row r="308" ht="15.75" customHeight="1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</row>
    <row r="309" ht="15.75" customHeight="1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</row>
    <row r="310" ht="15.75" customHeight="1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</row>
    <row r="311" ht="15.75" customHeight="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</row>
    <row r="312" ht="15.75" customHeight="1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</row>
    <row r="313" ht="15.75" customHeight="1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71"/>
      <c r="AJ313" s="71"/>
      <c r="AK313" s="71"/>
      <c r="AL313" s="71"/>
      <c r="AM313" s="71"/>
      <c r="AN313" s="71"/>
      <c r="AO313" s="71"/>
      <c r="AP313" s="71"/>
      <c r="AQ313" s="71"/>
      <c r="AR313" s="71"/>
    </row>
    <row r="314" ht="15.75" customHeight="1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71"/>
      <c r="AJ314" s="71"/>
      <c r="AK314" s="71"/>
      <c r="AL314" s="71"/>
      <c r="AM314" s="71"/>
      <c r="AN314" s="71"/>
      <c r="AO314" s="71"/>
      <c r="AP314" s="71"/>
      <c r="AQ314" s="71"/>
      <c r="AR314" s="71"/>
    </row>
    <row r="315" ht="15.75" customHeight="1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71"/>
      <c r="AJ315" s="71"/>
      <c r="AK315" s="71"/>
      <c r="AL315" s="71"/>
      <c r="AM315" s="71"/>
      <c r="AN315" s="71"/>
      <c r="AO315" s="71"/>
      <c r="AP315" s="71"/>
      <c r="AQ315" s="71"/>
      <c r="AR315" s="71"/>
    </row>
    <row r="316" ht="15.75" customHeight="1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71"/>
      <c r="AJ316" s="71"/>
      <c r="AK316" s="71"/>
      <c r="AL316" s="71"/>
      <c r="AM316" s="71"/>
      <c r="AN316" s="71"/>
      <c r="AO316" s="71"/>
      <c r="AP316" s="71"/>
      <c r="AQ316" s="71"/>
      <c r="AR316" s="71"/>
    </row>
    <row r="317" ht="15.75" customHeight="1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71"/>
      <c r="AJ317" s="71"/>
      <c r="AK317" s="71"/>
      <c r="AL317" s="71"/>
      <c r="AM317" s="71"/>
      <c r="AN317" s="71"/>
      <c r="AO317" s="71"/>
      <c r="AP317" s="71"/>
      <c r="AQ317" s="71"/>
      <c r="AR317" s="71"/>
    </row>
    <row r="318" ht="15.75" customHeight="1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71"/>
      <c r="AJ318" s="71"/>
      <c r="AK318" s="71"/>
      <c r="AL318" s="71"/>
      <c r="AM318" s="71"/>
      <c r="AN318" s="71"/>
      <c r="AO318" s="71"/>
      <c r="AP318" s="71"/>
      <c r="AQ318" s="71"/>
      <c r="AR318" s="71"/>
    </row>
    <row r="319" ht="15.75" customHeight="1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71"/>
      <c r="AJ319" s="71"/>
      <c r="AK319" s="71"/>
      <c r="AL319" s="71"/>
      <c r="AM319" s="71"/>
      <c r="AN319" s="71"/>
      <c r="AO319" s="71"/>
      <c r="AP319" s="71"/>
      <c r="AQ319" s="71"/>
      <c r="AR319" s="71"/>
    </row>
    <row r="320" ht="15.75" customHeight="1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71"/>
      <c r="AJ320" s="71"/>
      <c r="AK320" s="71"/>
      <c r="AL320" s="71"/>
      <c r="AM320" s="71"/>
      <c r="AN320" s="71"/>
      <c r="AO320" s="71"/>
      <c r="AP320" s="71"/>
      <c r="AQ320" s="71"/>
      <c r="AR320" s="71"/>
    </row>
    <row r="321" ht="15.75" customHeight="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71"/>
      <c r="AJ321" s="71"/>
      <c r="AK321" s="71"/>
      <c r="AL321" s="71"/>
      <c r="AM321" s="71"/>
      <c r="AN321" s="71"/>
      <c r="AO321" s="71"/>
      <c r="AP321" s="71"/>
      <c r="AQ321" s="71"/>
      <c r="AR321" s="71"/>
    </row>
    <row r="322" ht="15.75" customHeight="1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71"/>
      <c r="AJ322" s="71"/>
      <c r="AK322" s="71"/>
      <c r="AL322" s="71"/>
      <c r="AM322" s="71"/>
      <c r="AN322" s="71"/>
      <c r="AO322" s="71"/>
      <c r="AP322" s="71"/>
      <c r="AQ322" s="71"/>
      <c r="AR322" s="71"/>
    </row>
    <row r="323" ht="15.75" customHeight="1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71"/>
      <c r="AJ323" s="71"/>
      <c r="AK323" s="71"/>
      <c r="AL323" s="71"/>
      <c r="AM323" s="71"/>
      <c r="AN323" s="71"/>
      <c r="AO323" s="71"/>
      <c r="AP323" s="71"/>
      <c r="AQ323" s="71"/>
      <c r="AR323" s="71"/>
    </row>
    <row r="324" ht="15.75" customHeight="1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71"/>
      <c r="AJ324" s="71"/>
      <c r="AK324" s="71"/>
      <c r="AL324" s="71"/>
      <c r="AM324" s="71"/>
      <c r="AN324" s="71"/>
      <c r="AO324" s="71"/>
      <c r="AP324" s="71"/>
      <c r="AQ324" s="71"/>
      <c r="AR324" s="71"/>
    </row>
    <row r="325" ht="15.75" customHeight="1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71"/>
      <c r="AJ325" s="71"/>
      <c r="AK325" s="71"/>
      <c r="AL325" s="71"/>
      <c r="AM325" s="71"/>
      <c r="AN325" s="71"/>
      <c r="AO325" s="71"/>
      <c r="AP325" s="71"/>
      <c r="AQ325" s="71"/>
      <c r="AR325" s="71"/>
    </row>
    <row r="326" ht="15.75" customHeight="1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71"/>
      <c r="AJ326" s="71"/>
      <c r="AK326" s="71"/>
      <c r="AL326" s="71"/>
      <c r="AM326" s="71"/>
      <c r="AN326" s="71"/>
      <c r="AO326" s="71"/>
      <c r="AP326" s="71"/>
      <c r="AQ326" s="71"/>
      <c r="AR326" s="71"/>
    </row>
    <row r="327" ht="15.75" customHeight="1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71"/>
      <c r="AJ327" s="71"/>
      <c r="AK327" s="71"/>
      <c r="AL327" s="71"/>
      <c r="AM327" s="71"/>
      <c r="AN327" s="71"/>
      <c r="AO327" s="71"/>
      <c r="AP327" s="71"/>
      <c r="AQ327" s="71"/>
      <c r="AR327" s="71"/>
    </row>
    <row r="328" ht="15.75" customHeight="1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71"/>
      <c r="AJ328" s="71"/>
      <c r="AK328" s="71"/>
      <c r="AL328" s="71"/>
      <c r="AM328" s="71"/>
      <c r="AN328" s="71"/>
      <c r="AO328" s="71"/>
      <c r="AP328" s="71"/>
      <c r="AQ328" s="71"/>
      <c r="AR328" s="71"/>
    </row>
    <row r="329" ht="15.75" customHeight="1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71"/>
      <c r="AJ329" s="71"/>
      <c r="AK329" s="71"/>
      <c r="AL329" s="71"/>
      <c r="AM329" s="71"/>
      <c r="AN329" s="71"/>
      <c r="AO329" s="71"/>
      <c r="AP329" s="71"/>
      <c r="AQ329" s="71"/>
      <c r="AR329" s="71"/>
    </row>
    <row r="330" ht="15.75" customHeight="1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71"/>
      <c r="AJ330" s="71"/>
      <c r="AK330" s="71"/>
      <c r="AL330" s="71"/>
      <c r="AM330" s="71"/>
      <c r="AN330" s="71"/>
      <c r="AO330" s="71"/>
      <c r="AP330" s="71"/>
      <c r="AQ330" s="71"/>
      <c r="AR330" s="71"/>
    </row>
    <row r="331" ht="15.75" customHeight="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71"/>
      <c r="AJ331" s="71"/>
      <c r="AK331" s="71"/>
      <c r="AL331" s="71"/>
      <c r="AM331" s="71"/>
      <c r="AN331" s="71"/>
      <c r="AO331" s="71"/>
      <c r="AP331" s="71"/>
      <c r="AQ331" s="71"/>
      <c r="AR331" s="71"/>
    </row>
    <row r="332" ht="15.75" customHeight="1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71"/>
      <c r="AJ332" s="71"/>
      <c r="AK332" s="71"/>
      <c r="AL332" s="71"/>
      <c r="AM332" s="71"/>
      <c r="AN332" s="71"/>
      <c r="AO332" s="71"/>
      <c r="AP332" s="71"/>
      <c r="AQ332" s="71"/>
      <c r="AR332" s="71"/>
    </row>
    <row r="333" ht="15.75" customHeight="1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71"/>
      <c r="AJ333" s="71"/>
      <c r="AK333" s="71"/>
      <c r="AL333" s="71"/>
      <c r="AM333" s="71"/>
      <c r="AN333" s="71"/>
      <c r="AO333" s="71"/>
      <c r="AP333" s="71"/>
      <c r="AQ333" s="71"/>
      <c r="AR333" s="71"/>
    </row>
    <row r="334" ht="15.75" customHeight="1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71"/>
      <c r="AJ334" s="71"/>
      <c r="AK334" s="71"/>
      <c r="AL334" s="71"/>
      <c r="AM334" s="71"/>
      <c r="AN334" s="71"/>
      <c r="AO334" s="71"/>
      <c r="AP334" s="71"/>
      <c r="AQ334" s="71"/>
      <c r="AR334" s="71"/>
    </row>
    <row r="335" ht="15.75" customHeight="1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71"/>
      <c r="AJ335" s="71"/>
      <c r="AK335" s="71"/>
      <c r="AL335" s="71"/>
      <c r="AM335" s="71"/>
      <c r="AN335" s="71"/>
      <c r="AO335" s="71"/>
      <c r="AP335" s="71"/>
      <c r="AQ335" s="71"/>
      <c r="AR335" s="71"/>
    </row>
    <row r="336" ht="15.75" customHeight="1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71"/>
      <c r="AJ336" s="71"/>
      <c r="AK336" s="71"/>
      <c r="AL336" s="71"/>
      <c r="AM336" s="71"/>
      <c r="AN336" s="71"/>
      <c r="AO336" s="71"/>
      <c r="AP336" s="71"/>
      <c r="AQ336" s="71"/>
      <c r="AR336" s="71"/>
    </row>
    <row r="337" ht="15.75" customHeight="1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71"/>
      <c r="AJ337" s="71"/>
      <c r="AK337" s="71"/>
      <c r="AL337" s="71"/>
      <c r="AM337" s="71"/>
      <c r="AN337" s="71"/>
      <c r="AO337" s="71"/>
      <c r="AP337" s="71"/>
      <c r="AQ337" s="71"/>
      <c r="AR337" s="71"/>
    </row>
    <row r="338" ht="15.75" customHeight="1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71"/>
      <c r="AJ338" s="71"/>
      <c r="AK338" s="71"/>
      <c r="AL338" s="71"/>
      <c r="AM338" s="71"/>
      <c r="AN338" s="71"/>
      <c r="AO338" s="71"/>
      <c r="AP338" s="71"/>
      <c r="AQ338" s="71"/>
      <c r="AR338" s="71"/>
    </row>
    <row r="339" ht="15.75" customHeight="1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71"/>
      <c r="AJ339" s="71"/>
      <c r="AK339" s="71"/>
      <c r="AL339" s="71"/>
      <c r="AM339" s="71"/>
      <c r="AN339" s="71"/>
      <c r="AO339" s="71"/>
      <c r="AP339" s="71"/>
      <c r="AQ339" s="71"/>
      <c r="AR339" s="71"/>
    </row>
    <row r="340" ht="15.75" customHeight="1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71"/>
      <c r="AJ340" s="71"/>
      <c r="AK340" s="71"/>
      <c r="AL340" s="71"/>
      <c r="AM340" s="71"/>
      <c r="AN340" s="71"/>
      <c r="AO340" s="71"/>
      <c r="AP340" s="71"/>
      <c r="AQ340" s="71"/>
      <c r="AR340" s="71"/>
    </row>
    <row r="341" ht="15.75" customHeight="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71"/>
      <c r="AJ341" s="71"/>
      <c r="AK341" s="71"/>
      <c r="AL341" s="71"/>
      <c r="AM341" s="71"/>
      <c r="AN341" s="71"/>
      <c r="AO341" s="71"/>
      <c r="AP341" s="71"/>
      <c r="AQ341" s="71"/>
      <c r="AR341" s="71"/>
    </row>
    <row r="342" ht="15.75" customHeight="1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71"/>
      <c r="AJ342" s="71"/>
      <c r="AK342" s="71"/>
      <c r="AL342" s="71"/>
      <c r="AM342" s="71"/>
      <c r="AN342" s="71"/>
      <c r="AO342" s="71"/>
      <c r="AP342" s="71"/>
      <c r="AQ342" s="71"/>
      <c r="AR342" s="71"/>
    </row>
    <row r="343" ht="15.75" customHeight="1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71"/>
      <c r="AJ343" s="71"/>
      <c r="AK343" s="71"/>
      <c r="AL343" s="71"/>
      <c r="AM343" s="71"/>
      <c r="AN343" s="71"/>
      <c r="AO343" s="71"/>
      <c r="AP343" s="71"/>
      <c r="AQ343" s="71"/>
      <c r="AR343" s="71"/>
    </row>
    <row r="344" ht="15.75" customHeight="1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71"/>
      <c r="AJ344" s="71"/>
      <c r="AK344" s="71"/>
      <c r="AL344" s="71"/>
      <c r="AM344" s="71"/>
      <c r="AN344" s="71"/>
      <c r="AO344" s="71"/>
      <c r="AP344" s="71"/>
      <c r="AQ344" s="71"/>
      <c r="AR344" s="71"/>
    </row>
    <row r="345" ht="15.75" customHeight="1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71"/>
      <c r="AJ345" s="71"/>
      <c r="AK345" s="71"/>
      <c r="AL345" s="71"/>
      <c r="AM345" s="71"/>
      <c r="AN345" s="71"/>
      <c r="AO345" s="71"/>
      <c r="AP345" s="71"/>
      <c r="AQ345" s="71"/>
      <c r="AR345" s="71"/>
    </row>
    <row r="346" ht="15.75" customHeight="1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71"/>
      <c r="AJ346" s="71"/>
      <c r="AK346" s="71"/>
      <c r="AL346" s="71"/>
      <c r="AM346" s="71"/>
      <c r="AN346" s="71"/>
      <c r="AO346" s="71"/>
      <c r="AP346" s="71"/>
      <c r="AQ346" s="71"/>
      <c r="AR346" s="71"/>
    </row>
    <row r="347" ht="15.75" customHeight="1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71"/>
      <c r="AJ347" s="71"/>
      <c r="AK347" s="71"/>
      <c r="AL347" s="71"/>
      <c r="AM347" s="71"/>
      <c r="AN347" s="71"/>
      <c r="AO347" s="71"/>
      <c r="AP347" s="71"/>
      <c r="AQ347" s="71"/>
      <c r="AR347" s="71"/>
    </row>
    <row r="348" ht="15.75" customHeight="1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71"/>
      <c r="AJ348" s="71"/>
      <c r="AK348" s="71"/>
      <c r="AL348" s="71"/>
      <c r="AM348" s="71"/>
      <c r="AN348" s="71"/>
      <c r="AO348" s="71"/>
      <c r="AP348" s="71"/>
      <c r="AQ348" s="71"/>
      <c r="AR348" s="71"/>
    </row>
    <row r="349" ht="15.75" customHeight="1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71"/>
      <c r="AJ349" s="71"/>
      <c r="AK349" s="71"/>
      <c r="AL349" s="71"/>
      <c r="AM349" s="71"/>
      <c r="AN349" s="71"/>
      <c r="AO349" s="71"/>
      <c r="AP349" s="71"/>
      <c r="AQ349" s="71"/>
      <c r="AR349" s="71"/>
    </row>
    <row r="350" ht="15.75" customHeight="1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71"/>
      <c r="AJ350" s="71"/>
      <c r="AK350" s="71"/>
      <c r="AL350" s="71"/>
      <c r="AM350" s="71"/>
      <c r="AN350" s="71"/>
      <c r="AO350" s="71"/>
      <c r="AP350" s="71"/>
      <c r="AQ350" s="71"/>
      <c r="AR350" s="71"/>
    </row>
    <row r="351" ht="15.75" customHeight="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71"/>
      <c r="AJ351" s="71"/>
      <c r="AK351" s="71"/>
      <c r="AL351" s="71"/>
      <c r="AM351" s="71"/>
      <c r="AN351" s="71"/>
      <c r="AO351" s="71"/>
      <c r="AP351" s="71"/>
      <c r="AQ351" s="71"/>
      <c r="AR351" s="71"/>
    </row>
    <row r="352" ht="15.75" customHeight="1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71"/>
      <c r="AJ352" s="71"/>
      <c r="AK352" s="71"/>
      <c r="AL352" s="71"/>
      <c r="AM352" s="71"/>
      <c r="AN352" s="71"/>
      <c r="AO352" s="71"/>
      <c r="AP352" s="71"/>
      <c r="AQ352" s="71"/>
      <c r="AR352" s="71"/>
    </row>
    <row r="353" ht="15.75" customHeight="1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71"/>
      <c r="AJ353" s="71"/>
      <c r="AK353" s="71"/>
      <c r="AL353" s="71"/>
      <c r="AM353" s="71"/>
      <c r="AN353" s="71"/>
      <c r="AO353" s="71"/>
      <c r="AP353" s="71"/>
      <c r="AQ353" s="71"/>
      <c r="AR353" s="71"/>
    </row>
    <row r="354" ht="15.75" customHeight="1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71"/>
      <c r="AJ354" s="71"/>
      <c r="AK354" s="71"/>
      <c r="AL354" s="71"/>
      <c r="AM354" s="71"/>
      <c r="AN354" s="71"/>
      <c r="AO354" s="71"/>
      <c r="AP354" s="71"/>
      <c r="AQ354" s="71"/>
      <c r="AR354" s="71"/>
    </row>
    <row r="355" ht="15.75" customHeight="1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71"/>
      <c r="AJ355" s="71"/>
      <c r="AK355" s="71"/>
      <c r="AL355" s="71"/>
      <c r="AM355" s="71"/>
      <c r="AN355" s="71"/>
      <c r="AO355" s="71"/>
      <c r="AP355" s="71"/>
      <c r="AQ355" s="71"/>
      <c r="AR355" s="71"/>
    </row>
    <row r="356" ht="15.75" customHeight="1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71"/>
      <c r="AJ356" s="71"/>
      <c r="AK356" s="71"/>
      <c r="AL356" s="71"/>
      <c r="AM356" s="71"/>
      <c r="AN356" s="71"/>
      <c r="AO356" s="71"/>
      <c r="AP356" s="71"/>
      <c r="AQ356" s="71"/>
      <c r="AR356" s="71"/>
    </row>
    <row r="357" ht="15.75" customHeight="1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71"/>
      <c r="AJ357" s="71"/>
      <c r="AK357" s="71"/>
      <c r="AL357" s="71"/>
      <c r="AM357" s="71"/>
      <c r="AN357" s="71"/>
      <c r="AO357" s="71"/>
      <c r="AP357" s="71"/>
      <c r="AQ357" s="71"/>
      <c r="AR357" s="71"/>
    </row>
    <row r="358" ht="15.75" customHeight="1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71"/>
      <c r="AJ358" s="71"/>
      <c r="AK358" s="71"/>
      <c r="AL358" s="71"/>
      <c r="AM358" s="71"/>
      <c r="AN358" s="71"/>
      <c r="AO358" s="71"/>
      <c r="AP358" s="71"/>
      <c r="AQ358" s="71"/>
      <c r="AR358" s="71"/>
    </row>
    <row r="359" ht="15.75" customHeight="1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71"/>
      <c r="AJ359" s="71"/>
      <c r="AK359" s="71"/>
      <c r="AL359" s="71"/>
      <c r="AM359" s="71"/>
      <c r="AN359" s="71"/>
      <c r="AO359" s="71"/>
      <c r="AP359" s="71"/>
      <c r="AQ359" s="71"/>
      <c r="AR359" s="71"/>
    </row>
    <row r="360" ht="15.75" customHeight="1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71"/>
      <c r="AJ360" s="71"/>
      <c r="AK360" s="71"/>
      <c r="AL360" s="71"/>
      <c r="AM360" s="71"/>
      <c r="AN360" s="71"/>
      <c r="AO360" s="71"/>
      <c r="AP360" s="71"/>
      <c r="AQ360" s="71"/>
      <c r="AR360" s="71"/>
    </row>
    <row r="361" ht="15.75" customHeight="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71"/>
      <c r="AJ361" s="71"/>
      <c r="AK361" s="71"/>
      <c r="AL361" s="71"/>
      <c r="AM361" s="71"/>
      <c r="AN361" s="71"/>
      <c r="AO361" s="71"/>
      <c r="AP361" s="71"/>
      <c r="AQ361" s="71"/>
      <c r="AR361" s="71"/>
    </row>
    <row r="362" ht="15.75" customHeight="1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71"/>
      <c r="AJ362" s="71"/>
      <c r="AK362" s="71"/>
      <c r="AL362" s="71"/>
      <c r="AM362" s="71"/>
      <c r="AN362" s="71"/>
      <c r="AO362" s="71"/>
      <c r="AP362" s="71"/>
      <c r="AQ362" s="71"/>
      <c r="AR362" s="71"/>
    </row>
    <row r="363" ht="15.75" customHeight="1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71"/>
      <c r="AJ363" s="71"/>
      <c r="AK363" s="71"/>
      <c r="AL363" s="71"/>
      <c r="AM363" s="71"/>
      <c r="AN363" s="71"/>
      <c r="AO363" s="71"/>
      <c r="AP363" s="71"/>
      <c r="AQ363" s="71"/>
      <c r="AR363" s="71"/>
    </row>
    <row r="364" ht="15.75" customHeight="1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71"/>
      <c r="AJ364" s="71"/>
      <c r="AK364" s="71"/>
      <c r="AL364" s="71"/>
      <c r="AM364" s="71"/>
      <c r="AN364" s="71"/>
      <c r="AO364" s="71"/>
      <c r="AP364" s="71"/>
      <c r="AQ364" s="71"/>
      <c r="AR364" s="71"/>
    </row>
    <row r="365" ht="15.75" customHeight="1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71"/>
      <c r="AJ365" s="71"/>
      <c r="AK365" s="71"/>
      <c r="AL365" s="71"/>
      <c r="AM365" s="71"/>
      <c r="AN365" s="71"/>
      <c r="AO365" s="71"/>
      <c r="AP365" s="71"/>
      <c r="AQ365" s="71"/>
      <c r="AR365" s="71"/>
    </row>
    <row r="366" ht="15.75" customHeight="1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71"/>
      <c r="AJ366" s="71"/>
      <c r="AK366" s="71"/>
      <c r="AL366" s="71"/>
      <c r="AM366" s="71"/>
      <c r="AN366" s="71"/>
      <c r="AO366" s="71"/>
      <c r="AP366" s="71"/>
      <c r="AQ366" s="71"/>
      <c r="AR366" s="71"/>
    </row>
    <row r="367" ht="15.75" customHeight="1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71"/>
      <c r="AJ367" s="71"/>
      <c r="AK367" s="71"/>
      <c r="AL367" s="71"/>
      <c r="AM367" s="71"/>
      <c r="AN367" s="71"/>
      <c r="AO367" s="71"/>
      <c r="AP367" s="71"/>
      <c r="AQ367" s="71"/>
      <c r="AR367" s="71"/>
    </row>
    <row r="368" ht="15.75" customHeight="1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71"/>
      <c r="AJ368" s="71"/>
      <c r="AK368" s="71"/>
      <c r="AL368" s="71"/>
      <c r="AM368" s="71"/>
      <c r="AN368" s="71"/>
      <c r="AO368" s="71"/>
      <c r="AP368" s="71"/>
      <c r="AQ368" s="71"/>
      <c r="AR368" s="71"/>
    </row>
    <row r="369" ht="15.75" customHeight="1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71"/>
      <c r="AJ369" s="71"/>
      <c r="AK369" s="71"/>
      <c r="AL369" s="71"/>
      <c r="AM369" s="71"/>
      <c r="AN369" s="71"/>
      <c r="AO369" s="71"/>
      <c r="AP369" s="71"/>
      <c r="AQ369" s="71"/>
      <c r="AR369" s="71"/>
    </row>
    <row r="370" ht="15.75" customHeight="1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71"/>
      <c r="AJ370" s="71"/>
      <c r="AK370" s="71"/>
      <c r="AL370" s="71"/>
      <c r="AM370" s="71"/>
      <c r="AN370" s="71"/>
      <c r="AO370" s="71"/>
      <c r="AP370" s="71"/>
      <c r="AQ370" s="71"/>
      <c r="AR370" s="71"/>
    </row>
    <row r="371" ht="15.75" customHeight="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71"/>
      <c r="AJ371" s="71"/>
      <c r="AK371" s="71"/>
      <c r="AL371" s="71"/>
      <c r="AM371" s="71"/>
      <c r="AN371" s="71"/>
      <c r="AO371" s="71"/>
      <c r="AP371" s="71"/>
      <c r="AQ371" s="71"/>
      <c r="AR371" s="71"/>
    </row>
    <row r="372" ht="15.75" customHeight="1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71"/>
      <c r="AJ372" s="71"/>
      <c r="AK372" s="71"/>
      <c r="AL372" s="71"/>
      <c r="AM372" s="71"/>
      <c r="AN372" s="71"/>
      <c r="AO372" s="71"/>
      <c r="AP372" s="71"/>
      <c r="AQ372" s="71"/>
      <c r="AR372" s="71"/>
    </row>
    <row r="373" ht="15.75" customHeight="1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  <c r="AP373" s="71"/>
      <c r="AQ373" s="71"/>
      <c r="AR373" s="71"/>
    </row>
    <row r="374" ht="15.75" customHeight="1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71"/>
      <c r="AJ374" s="71"/>
      <c r="AK374" s="71"/>
      <c r="AL374" s="71"/>
      <c r="AM374" s="71"/>
      <c r="AN374" s="71"/>
      <c r="AO374" s="71"/>
      <c r="AP374" s="71"/>
      <c r="AQ374" s="71"/>
      <c r="AR374" s="71"/>
    </row>
    <row r="375" ht="15.75" customHeight="1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71"/>
      <c r="AJ375" s="71"/>
      <c r="AK375" s="71"/>
      <c r="AL375" s="71"/>
      <c r="AM375" s="71"/>
      <c r="AN375" s="71"/>
      <c r="AO375" s="71"/>
      <c r="AP375" s="71"/>
      <c r="AQ375" s="71"/>
      <c r="AR375" s="71"/>
    </row>
    <row r="376" ht="15.75" customHeight="1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71"/>
      <c r="AJ376" s="71"/>
      <c r="AK376" s="71"/>
      <c r="AL376" s="71"/>
      <c r="AM376" s="71"/>
      <c r="AN376" s="71"/>
      <c r="AO376" s="71"/>
      <c r="AP376" s="71"/>
      <c r="AQ376" s="71"/>
      <c r="AR376" s="71"/>
    </row>
    <row r="377" ht="15.75" customHeight="1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71"/>
      <c r="AJ377" s="71"/>
      <c r="AK377" s="71"/>
      <c r="AL377" s="71"/>
      <c r="AM377" s="71"/>
      <c r="AN377" s="71"/>
      <c r="AO377" s="71"/>
      <c r="AP377" s="71"/>
      <c r="AQ377" s="71"/>
      <c r="AR377" s="71"/>
    </row>
    <row r="378" ht="15.75" customHeight="1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71"/>
      <c r="AJ378" s="71"/>
      <c r="AK378" s="71"/>
      <c r="AL378" s="71"/>
      <c r="AM378" s="71"/>
      <c r="AN378" s="71"/>
      <c r="AO378" s="71"/>
      <c r="AP378" s="71"/>
      <c r="AQ378" s="71"/>
      <c r="AR378" s="71"/>
    </row>
    <row r="379" ht="15.75" customHeight="1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  <c r="AP379" s="71"/>
      <c r="AQ379" s="71"/>
      <c r="AR379" s="71"/>
    </row>
    <row r="380" ht="15.75" customHeight="1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71"/>
      <c r="AJ380" s="71"/>
      <c r="AK380" s="71"/>
      <c r="AL380" s="71"/>
      <c r="AM380" s="71"/>
      <c r="AN380" s="71"/>
      <c r="AO380" s="71"/>
      <c r="AP380" s="71"/>
      <c r="AQ380" s="71"/>
      <c r="AR380" s="71"/>
    </row>
    <row r="381" ht="15.75" customHeight="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71"/>
      <c r="AJ381" s="71"/>
      <c r="AK381" s="71"/>
      <c r="AL381" s="71"/>
      <c r="AM381" s="71"/>
      <c r="AN381" s="71"/>
      <c r="AO381" s="71"/>
      <c r="AP381" s="71"/>
      <c r="AQ381" s="71"/>
      <c r="AR381" s="71"/>
    </row>
    <row r="382" ht="15.75" customHeight="1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1"/>
      <c r="AL382" s="71"/>
      <c r="AM382" s="71"/>
      <c r="AN382" s="71"/>
      <c r="AO382" s="71"/>
      <c r="AP382" s="71"/>
      <c r="AQ382" s="71"/>
      <c r="AR382" s="71"/>
    </row>
    <row r="383" ht="15.75" customHeight="1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  <c r="AL383" s="71"/>
      <c r="AM383" s="71"/>
      <c r="AN383" s="71"/>
      <c r="AO383" s="71"/>
      <c r="AP383" s="71"/>
      <c r="AQ383" s="71"/>
      <c r="AR383" s="71"/>
    </row>
    <row r="384" ht="15.75" customHeight="1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71"/>
      <c r="AJ384" s="71"/>
      <c r="AK384" s="71"/>
      <c r="AL384" s="71"/>
      <c r="AM384" s="71"/>
      <c r="AN384" s="71"/>
      <c r="AO384" s="71"/>
      <c r="AP384" s="71"/>
      <c r="AQ384" s="71"/>
      <c r="AR384" s="71"/>
    </row>
    <row r="385" ht="15.75" customHeight="1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71"/>
      <c r="AJ385" s="71"/>
      <c r="AK385" s="71"/>
      <c r="AL385" s="71"/>
      <c r="AM385" s="71"/>
      <c r="AN385" s="71"/>
      <c r="AO385" s="71"/>
      <c r="AP385" s="71"/>
      <c r="AQ385" s="71"/>
      <c r="AR385" s="71"/>
    </row>
    <row r="386" ht="15.75" customHeight="1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71"/>
      <c r="AJ386" s="71"/>
      <c r="AK386" s="71"/>
      <c r="AL386" s="71"/>
      <c r="AM386" s="71"/>
      <c r="AN386" s="71"/>
      <c r="AO386" s="71"/>
      <c r="AP386" s="71"/>
      <c r="AQ386" s="71"/>
      <c r="AR386" s="71"/>
    </row>
    <row r="387" ht="15.75" customHeight="1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71"/>
      <c r="AJ387" s="71"/>
      <c r="AK387" s="71"/>
      <c r="AL387" s="71"/>
      <c r="AM387" s="71"/>
      <c r="AN387" s="71"/>
      <c r="AO387" s="71"/>
      <c r="AP387" s="71"/>
      <c r="AQ387" s="71"/>
      <c r="AR387" s="71"/>
    </row>
    <row r="388" ht="15.75" customHeight="1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71"/>
      <c r="AJ388" s="71"/>
      <c r="AK388" s="71"/>
      <c r="AL388" s="71"/>
      <c r="AM388" s="71"/>
      <c r="AN388" s="71"/>
      <c r="AO388" s="71"/>
      <c r="AP388" s="71"/>
      <c r="AQ388" s="71"/>
      <c r="AR388" s="71"/>
    </row>
    <row r="389" ht="15.75" customHeight="1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  <c r="AL389" s="71"/>
      <c r="AM389" s="71"/>
      <c r="AN389" s="71"/>
      <c r="AO389" s="71"/>
      <c r="AP389" s="71"/>
      <c r="AQ389" s="71"/>
      <c r="AR389" s="71"/>
    </row>
    <row r="390" ht="15.75" customHeight="1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  <c r="AP390" s="71"/>
      <c r="AQ390" s="71"/>
      <c r="AR390" s="71"/>
    </row>
    <row r="391" ht="15.75" customHeight="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71"/>
      <c r="AJ391" s="71"/>
      <c r="AK391" s="71"/>
      <c r="AL391" s="71"/>
      <c r="AM391" s="71"/>
      <c r="AN391" s="71"/>
      <c r="AO391" s="71"/>
      <c r="AP391" s="71"/>
      <c r="AQ391" s="71"/>
      <c r="AR391" s="71"/>
    </row>
    <row r="392" ht="15.75" customHeight="1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  <c r="AP392" s="71"/>
      <c r="AQ392" s="71"/>
      <c r="AR392" s="71"/>
    </row>
    <row r="393" ht="15.75" customHeight="1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71"/>
      <c r="AJ393" s="71"/>
      <c r="AK393" s="71"/>
      <c r="AL393" s="71"/>
      <c r="AM393" s="71"/>
      <c r="AN393" s="71"/>
      <c r="AO393" s="71"/>
      <c r="AP393" s="71"/>
      <c r="AQ393" s="71"/>
      <c r="AR393" s="71"/>
    </row>
    <row r="394" ht="15.75" customHeight="1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71"/>
      <c r="AJ394" s="71"/>
      <c r="AK394" s="71"/>
      <c r="AL394" s="71"/>
      <c r="AM394" s="71"/>
      <c r="AN394" s="71"/>
      <c r="AO394" s="71"/>
      <c r="AP394" s="71"/>
      <c r="AQ394" s="71"/>
      <c r="AR394" s="71"/>
    </row>
    <row r="395" ht="15.75" customHeight="1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71"/>
      <c r="AJ395" s="71"/>
      <c r="AK395" s="71"/>
      <c r="AL395" s="71"/>
      <c r="AM395" s="71"/>
      <c r="AN395" s="71"/>
      <c r="AO395" s="71"/>
      <c r="AP395" s="71"/>
      <c r="AQ395" s="71"/>
      <c r="AR395" s="71"/>
    </row>
    <row r="396" ht="15.75" customHeight="1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71"/>
      <c r="AJ396" s="71"/>
      <c r="AK396" s="71"/>
      <c r="AL396" s="71"/>
      <c r="AM396" s="71"/>
      <c r="AN396" s="71"/>
      <c r="AO396" s="71"/>
      <c r="AP396" s="71"/>
      <c r="AQ396" s="71"/>
      <c r="AR396" s="71"/>
    </row>
    <row r="397" ht="15.75" customHeight="1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71"/>
      <c r="AJ397" s="71"/>
      <c r="AK397" s="71"/>
      <c r="AL397" s="71"/>
      <c r="AM397" s="71"/>
      <c r="AN397" s="71"/>
      <c r="AO397" s="71"/>
      <c r="AP397" s="71"/>
      <c r="AQ397" s="71"/>
      <c r="AR397" s="71"/>
    </row>
    <row r="398" ht="15.75" customHeight="1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  <c r="AR398" s="71"/>
    </row>
    <row r="399" ht="15.75" customHeight="1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  <c r="AP399" s="71"/>
      <c r="AQ399" s="71"/>
      <c r="AR399" s="71"/>
    </row>
    <row r="400" ht="15.75" customHeight="1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1"/>
      <c r="AL400" s="71"/>
      <c r="AM400" s="71"/>
      <c r="AN400" s="71"/>
      <c r="AO400" s="71"/>
      <c r="AP400" s="71"/>
      <c r="AQ400" s="71"/>
      <c r="AR400" s="71"/>
    </row>
    <row r="401" ht="15.75" customHeight="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71"/>
      <c r="AJ401" s="71"/>
      <c r="AK401" s="71"/>
      <c r="AL401" s="71"/>
      <c r="AM401" s="71"/>
      <c r="AN401" s="71"/>
      <c r="AO401" s="71"/>
      <c r="AP401" s="71"/>
      <c r="AQ401" s="71"/>
      <c r="AR401" s="71"/>
    </row>
    <row r="402" ht="15.75" customHeight="1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  <c r="AP402" s="71"/>
      <c r="AQ402" s="71"/>
      <c r="AR402" s="71"/>
    </row>
    <row r="403" ht="15.75" customHeight="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</row>
    <row r="404" ht="15.75" customHeight="1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</row>
    <row r="405" ht="15.75" customHeight="1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</row>
    <row r="406" ht="15.75" customHeight="1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</row>
    <row r="407" ht="15.75" customHeight="1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71"/>
      <c r="AK407" s="71"/>
      <c r="AL407" s="71"/>
      <c r="AM407" s="71"/>
      <c r="AN407" s="71"/>
      <c r="AO407" s="71"/>
      <c r="AP407" s="71"/>
      <c r="AQ407" s="71"/>
      <c r="AR407" s="71"/>
    </row>
    <row r="408" ht="15.75" customHeight="1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71"/>
      <c r="AJ408" s="71"/>
      <c r="AK408" s="71"/>
      <c r="AL408" s="71"/>
      <c r="AM408" s="71"/>
      <c r="AN408" s="71"/>
      <c r="AO408" s="71"/>
      <c r="AP408" s="71"/>
      <c r="AQ408" s="71"/>
      <c r="AR408" s="71"/>
    </row>
    <row r="409" ht="15.75" customHeight="1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  <c r="AP409" s="71"/>
      <c r="AQ409" s="71"/>
      <c r="AR409" s="71"/>
    </row>
    <row r="410" ht="15.75" customHeight="1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</row>
    <row r="411" ht="15.75" customHeight="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</row>
    <row r="412" ht="15.75" customHeight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</row>
    <row r="413" ht="15.75" customHeight="1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</row>
    <row r="414" ht="15.75" customHeight="1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</row>
    <row r="415" ht="15.75" customHeight="1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71"/>
      <c r="AJ415" s="71"/>
      <c r="AK415" s="71"/>
      <c r="AL415" s="71"/>
      <c r="AM415" s="71"/>
      <c r="AN415" s="71"/>
      <c r="AO415" s="71"/>
      <c r="AP415" s="71"/>
      <c r="AQ415" s="71"/>
      <c r="AR415" s="71"/>
    </row>
    <row r="416" ht="15.75" customHeight="1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71"/>
      <c r="AJ416" s="71"/>
      <c r="AK416" s="71"/>
      <c r="AL416" s="71"/>
      <c r="AM416" s="71"/>
      <c r="AN416" s="71"/>
      <c r="AO416" s="71"/>
      <c r="AP416" s="71"/>
      <c r="AQ416" s="71"/>
      <c r="AR416" s="71"/>
    </row>
    <row r="417" ht="15.75" customHeight="1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71"/>
      <c r="AJ417" s="71"/>
      <c r="AK417" s="71"/>
      <c r="AL417" s="71"/>
      <c r="AM417" s="71"/>
      <c r="AN417" s="71"/>
      <c r="AO417" s="71"/>
      <c r="AP417" s="71"/>
      <c r="AQ417" s="71"/>
      <c r="AR417" s="71"/>
    </row>
    <row r="418" ht="15.75" customHeight="1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71"/>
      <c r="AJ418" s="71"/>
      <c r="AK418" s="71"/>
      <c r="AL418" s="71"/>
      <c r="AM418" s="71"/>
      <c r="AN418" s="71"/>
      <c r="AO418" s="71"/>
      <c r="AP418" s="71"/>
      <c r="AQ418" s="71"/>
      <c r="AR418" s="71"/>
    </row>
    <row r="419" ht="15.75" customHeight="1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</row>
    <row r="420" ht="15.75" customHeight="1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</row>
    <row r="421" ht="15.75" customHeight="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  <c r="AR421" s="71"/>
    </row>
    <row r="422" ht="15.75" customHeight="1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1"/>
      <c r="AL422" s="71"/>
      <c r="AM422" s="71"/>
      <c r="AN422" s="71"/>
      <c r="AO422" s="71"/>
      <c r="AP422" s="71"/>
      <c r="AQ422" s="71"/>
      <c r="AR422" s="71"/>
    </row>
    <row r="423" ht="15.75" customHeight="1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71"/>
      <c r="AJ423" s="71"/>
      <c r="AK423" s="71"/>
      <c r="AL423" s="71"/>
      <c r="AM423" s="71"/>
      <c r="AN423" s="71"/>
      <c r="AO423" s="71"/>
      <c r="AP423" s="71"/>
      <c r="AQ423" s="71"/>
      <c r="AR423" s="71"/>
    </row>
    <row r="424" ht="15.75" customHeight="1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</row>
    <row r="425" ht="15.75" customHeight="1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</row>
    <row r="426" ht="15.75" customHeight="1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71"/>
      <c r="AJ426" s="71"/>
      <c r="AK426" s="71"/>
      <c r="AL426" s="71"/>
      <c r="AM426" s="71"/>
      <c r="AN426" s="71"/>
      <c r="AO426" s="71"/>
      <c r="AP426" s="71"/>
      <c r="AQ426" s="71"/>
      <c r="AR426" s="71"/>
    </row>
    <row r="427" ht="15.75" customHeight="1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71"/>
      <c r="AJ427" s="71"/>
      <c r="AK427" s="71"/>
      <c r="AL427" s="71"/>
      <c r="AM427" s="71"/>
      <c r="AN427" s="71"/>
      <c r="AO427" s="71"/>
      <c r="AP427" s="71"/>
      <c r="AQ427" s="71"/>
      <c r="AR427" s="71"/>
    </row>
    <row r="428" ht="15.75" customHeight="1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71"/>
      <c r="AJ428" s="71"/>
      <c r="AK428" s="71"/>
      <c r="AL428" s="71"/>
      <c r="AM428" s="71"/>
      <c r="AN428" s="71"/>
      <c r="AO428" s="71"/>
      <c r="AP428" s="71"/>
      <c r="AQ428" s="71"/>
      <c r="AR428" s="71"/>
    </row>
    <row r="429" ht="15.75" customHeight="1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71"/>
      <c r="AJ429" s="71"/>
      <c r="AK429" s="71"/>
      <c r="AL429" s="71"/>
      <c r="AM429" s="71"/>
      <c r="AN429" s="71"/>
      <c r="AO429" s="71"/>
      <c r="AP429" s="71"/>
      <c r="AQ429" s="71"/>
      <c r="AR429" s="71"/>
    </row>
    <row r="430" ht="15.75" customHeight="1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71"/>
      <c r="AJ430" s="71"/>
      <c r="AK430" s="71"/>
      <c r="AL430" s="71"/>
      <c r="AM430" s="71"/>
      <c r="AN430" s="71"/>
      <c r="AO430" s="71"/>
      <c r="AP430" s="71"/>
      <c r="AQ430" s="71"/>
      <c r="AR430" s="71"/>
    </row>
    <row r="431" ht="15.75" customHeight="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71"/>
      <c r="AJ431" s="71"/>
      <c r="AK431" s="71"/>
      <c r="AL431" s="71"/>
      <c r="AM431" s="71"/>
      <c r="AN431" s="71"/>
      <c r="AO431" s="71"/>
      <c r="AP431" s="71"/>
      <c r="AQ431" s="71"/>
      <c r="AR431" s="71"/>
    </row>
    <row r="432" ht="15.75" customHeight="1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71"/>
      <c r="AJ432" s="71"/>
      <c r="AK432" s="71"/>
      <c r="AL432" s="71"/>
      <c r="AM432" s="71"/>
      <c r="AN432" s="71"/>
      <c r="AO432" s="71"/>
      <c r="AP432" s="71"/>
      <c r="AQ432" s="71"/>
      <c r="AR432" s="71"/>
    </row>
    <row r="433" ht="15.75" customHeight="1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1"/>
    </row>
    <row r="434" ht="15.75" customHeight="1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71"/>
      <c r="AJ434" s="71"/>
      <c r="AK434" s="71"/>
      <c r="AL434" s="71"/>
      <c r="AM434" s="71"/>
      <c r="AN434" s="71"/>
      <c r="AO434" s="71"/>
      <c r="AP434" s="71"/>
      <c r="AQ434" s="71"/>
      <c r="AR434" s="71"/>
    </row>
    <row r="435" ht="15.75" customHeight="1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71"/>
      <c r="AJ435" s="71"/>
      <c r="AK435" s="71"/>
      <c r="AL435" s="71"/>
      <c r="AM435" s="71"/>
      <c r="AN435" s="71"/>
      <c r="AO435" s="71"/>
      <c r="AP435" s="71"/>
      <c r="AQ435" s="71"/>
      <c r="AR435" s="71"/>
    </row>
    <row r="436" ht="15.75" customHeight="1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71"/>
      <c r="AJ436" s="71"/>
      <c r="AK436" s="71"/>
      <c r="AL436" s="71"/>
      <c r="AM436" s="71"/>
      <c r="AN436" s="71"/>
      <c r="AO436" s="71"/>
      <c r="AP436" s="71"/>
      <c r="AQ436" s="71"/>
      <c r="AR436" s="71"/>
    </row>
    <row r="437" ht="15.75" customHeight="1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71"/>
      <c r="AJ437" s="71"/>
      <c r="AK437" s="71"/>
      <c r="AL437" s="71"/>
      <c r="AM437" s="71"/>
      <c r="AN437" s="71"/>
      <c r="AO437" s="71"/>
      <c r="AP437" s="71"/>
      <c r="AQ437" s="71"/>
      <c r="AR437" s="71"/>
    </row>
    <row r="438" ht="15.75" customHeight="1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71"/>
      <c r="AJ438" s="71"/>
      <c r="AK438" s="71"/>
      <c r="AL438" s="71"/>
      <c r="AM438" s="71"/>
      <c r="AN438" s="71"/>
      <c r="AO438" s="71"/>
      <c r="AP438" s="71"/>
      <c r="AQ438" s="71"/>
      <c r="AR438" s="71"/>
    </row>
    <row r="439" ht="15.75" customHeight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71"/>
      <c r="AJ439" s="71"/>
      <c r="AK439" s="71"/>
      <c r="AL439" s="71"/>
      <c r="AM439" s="71"/>
      <c r="AN439" s="71"/>
      <c r="AO439" s="71"/>
      <c r="AP439" s="71"/>
      <c r="AQ439" s="71"/>
      <c r="AR439" s="71"/>
    </row>
    <row r="440" ht="15.75" customHeight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71"/>
      <c r="AJ440" s="71"/>
      <c r="AK440" s="71"/>
      <c r="AL440" s="71"/>
      <c r="AM440" s="71"/>
      <c r="AN440" s="71"/>
      <c r="AO440" s="71"/>
      <c r="AP440" s="71"/>
      <c r="AQ440" s="71"/>
      <c r="AR440" s="71"/>
    </row>
    <row r="441" ht="15.75" customHeight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71"/>
      <c r="AJ441" s="71"/>
      <c r="AK441" s="71"/>
      <c r="AL441" s="71"/>
      <c r="AM441" s="71"/>
      <c r="AN441" s="71"/>
      <c r="AO441" s="71"/>
      <c r="AP441" s="71"/>
      <c r="AQ441" s="71"/>
      <c r="AR441" s="71"/>
    </row>
    <row r="442" ht="15.75" customHeight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71"/>
      <c r="AJ442" s="71"/>
      <c r="AK442" s="71"/>
      <c r="AL442" s="71"/>
      <c r="AM442" s="71"/>
      <c r="AN442" s="71"/>
      <c r="AO442" s="71"/>
      <c r="AP442" s="71"/>
      <c r="AQ442" s="71"/>
      <c r="AR442" s="71"/>
    </row>
    <row r="443" ht="15.75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71"/>
      <c r="AJ443" s="71"/>
      <c r="AK443" s="71"/>
      <c r="AL443" s="71"/>
      <c r="AM443" s="71"/>
      <c r="AN443" s="71"/>
      <c r="AO443" s="71"/>
      <c r="AP443" s="71"/>
      <c r="AQ443" s="71"/>
      <c r="AR443" s="71"/>
    </row>
    <row r="444" ht="15.75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71"/>
      <c r="AJ444" s="71"/>
      <c r="AK444" s="71"/>
      <c r="AL444" s="71"/>
      <c r="AM444" s="71"/>
      <c r="AN444" s="71"/>
      <c r="AO444" s="71"/>
      <c r="AP444" s="71"/>
      <c r="AQ444" s="71"/>
      <c r="AR444" s="71"/>
    </row>
    <row r="445" ht="15.75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71"/>
      <c r="AJ445" s="71"/>
      <c r="AK445" s="71"/>
      <c r="AL445" s="71"/>
      <c r="AM445" s="71"/>
      <c r="AN445" s="71"/>
      <c r="AO445" s="71"/>
      <c r="AP445" s="71"/>
      <c r="AQ445" s="71"/>
      <c r="AR445" s="71"/>
    </row>
    <row r="446" ht="15.75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71"/>
      <c r="AJ446" s="71"/>
      <c r="AK446" s="71"/>
      <c r="AL446" s="71"/>
      <c r="AM446" s="71"/>
      <c r="AN446" s="71"/>
      <c r="AO446" s="71"/>
      <c r="AP446" s="71"/>
      <c r="AQ446" s="71"/>
      <c r="AR446" s="71"/>
    </row>
    <row r="447" ht="15.75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71"/>
      <c r="AJ447" s="71"/>
      <c r="AK447" s="71"/>
      <c r="AL447" s="71"/>
      <c r="AM447" s="71"/>
      <c r="AN447" s="71"/>
      <c r="AO447" s="71"/>
      <c r="AP447" s="71"/>
      <c r="AQ447" s="71"/>
      <c r="AR447" s="71"/>
    </row>
    <row r="448" ht="15.75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71"/>
      <c r="AJ448" s="71"/>
      <c r="AK448" s="71"/>
      <c r="AL448" s="71"/>
      <c r="AM448" s="71"/>
      <c r="AN448" s="71"/>
      <c r="AO448" s="71"/>
      <c r="AP448" s="71"/>
      <c r="AQ448" s="71"/>
      <c r="AR448" s="71"/>
    </row>
    <row r="449" ht="15.75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71"/>
      <c r="AJ449" s="71"/>
      <c r="AK449" s="71"/>
      <c r="AL449" s="71"/>
      <c r="AM449" s="71"/>
      <c r="AN449" s="71"/>
      <c r="AO449" s="71"/>
      <c r="AP449" s="71"/>
      <c r="AQ449" s="71"/>
      <c r="AR449" s="71"/>
    </row>
    <row r="450" ht="15.75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71"/>
      <c r="AJ450" s="71"/>
      <c r="AK450" s="71"/>
      <c r="AL450" s="71"/>
      <c r="AM450" s="71"/>
      <c r="AN450" s="71"/>
      <c r="AO450" s="71"/>
      <c r="AP450" s="71"/>
      <c r="AQ450" s="71"/>
      <c r="AR450" s="71"/>
    </row>
    <row r="451" ht="15.75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71"/>
      <c r="AJ451" s="71"/>
      <c r="AK451" s="71"/>
      <c r="AL451" s="71"/>
      <c r="AM451" s="71"/>
      <c r="AN451" s="71"/>
      <c r="AO451" s="71"/>
      <c r="AP451" s="71"/>
      <c r="AQ451" s="71"/>
      <c r="AR451" s="71"/>
    </row>
    <row r="452" ht="15.75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71"/>
      <c r="AJ452" s="71"/>
      <c r="AK452" s="71"/>
      <c r="AL452" s="71"/>
      <c r="AM452" s="71"/>
      <c r="AN452" s="71"/>
      <c r="AO452" s="71"/>
      <c r="AP452" s="71"/>
      <c r="AQ452" s="71"/>
      <c r="AR452" s="71"/>
    </row>
    <row r="453" ht="15.75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71"/>
      <c r="AJ453" s="71"/>
      <c r="AK453" s="71"/>
      <c r="AL453" s="71"/>
      <c r="AM453" s="71"/>
      <c r="AN453" s="71"/>
      <c r="AO453" s="71"/>
      <c r="AP453" s="71"/>
      <c r="AQ453" s="71"/>
      <c r="AR453" s="71"/>
    </row>
    <row r="454" ht="15.75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71"/>
      <c r="AJ454" s="71"/>
      <c r="AK454" s="71"/>
      <c r="AL454" s="71"/>
      <c r="AM454" s="71"/>
      <c r="AN454" s="71"/>
      <c r="AO454" s="71"/>
      <c r="AP454" s="71"/>
      <c r="AQ454" s="71"/>
      <c r="AR454" s="71"/>
    </row>
    <row r="455" ht="15.75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71"/>
      <c r="AJ455" s="71"/>
      <c r="AK455" s="71"/>
      <c r="AL455" s="71"/>
      <c r="AM455" s="71"/>
      <c r="AN455" s="71"/>
      <c r="AO455" s="71"/>
      <c r="AP455" s="71"/>
      <c r="AQ455" s="71"/>
      <c r="AR455" s="71"/>
    </row>
    <row r="456" ht="15.75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71"/>
      <c r="AJ456" s="71"/>
      <c r="AK456" s="71"/>
      <c r="AL456" s="71"/>
      <c r="AM456" s="71"/>
      <c r="AN456" s="71"/>
      <c r="AO456" s="71"/>
      <c r="AP456" s="71"/>
      <c r="AQ456" s="71"/>
      <c r="AR456" s="71"/>
    </row>
    <row r="457" ht="15.75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71"/>
      <c r="AJ457" s="71"/>
      <c r="AK457" s="71"/>
      <c r="AL457" s="71"/>
      <c r="AM457" s="71"/>
      <c r="AN457" s="71"/>
      <c r="AO457" s="71"/>
      <c r="AP457" s="71"/>
      <c r="AQ457" s="71"/>
      <c r="AR457" s="71"/>
    </row>
    <row r="458" ht="15.75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71"/>
      <c r="AJ458" s="71"/>
      <c r="AK458" s="71"/>
      <c r="AL458" s="71"/>
      <c r="AM458" s="71"/>
      <c r="AN458" s="71"/>
      <c r="AO458" s="71"/>
      <c r="AP458" s="71"/>
      <c r="AQ458" s="71"/>
      <c r="AR458" s="71"/>
    </row>
    <row r="459" ht="15.75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71"/>
      <c r="AJ459" s="71"/>
      <c r="AK459" s="71"/>
      <c r="AL459" s="71"/>
      <c r="AM459" s="71"/>
      <c r="AN459" s="71"/>
      <c r="AO459" s="71"/>
      <c r="AP459" s="71"/>
      <c r="AQ459" s="71"/>
      <c r="AR459" s="71"/>
    </row>
    <row r="460" ht="15.75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71"/>
      <c r="AJ460" s="71"/>
      <c r="AK460" s="71"/>
      <c r="AL460" s="71"/>
      <c r="AM460" s="71"/>
      <c r="AN460" s="71"/>
      <c r="AO460" s="71"/>
      <c r="AP460" s="71"/>
      <c r="AQ460" s="71"/>
      <c r="AR460" s="71"/>
    </row>
    <row r="461" ht="15.75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71"/>
      <c r="AJ461" s="71"/>
      <c r="AK461" s="71"/>
      <c r="AL461" s="71"/>
      <c r="AM461" s="71"/>
      <c r="AN461" s="71"/>
      <c r="AO461" s="71"/>
      <c r="AP461" s="71"/>
      <c r="AQ461" s="71"/>
      <c r="AR461" s="71"/>
    </row>
    <row r="462" ht="15.75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71"/>
      <c r="AJ462" s="71"/>
      <c r="AK462" s="71"/>
      <c r="AL462" s="71"/>
      <c r="AM462" s="71"/>
      <c r="AN462" s="71"/>
      <c r="AO462" s="71"/>
      <c r="AP462" s="71"/>
      <c r="AQ462" s="71"/>
      <c r="AR462" s="71"/>
    </row>
    <row r="463" ht="15.75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71"/>
      <c r="AJ463" s="71"/>
      <c r="AK463" s="71"/>
      <c r="AL463" s="71"/>
      <c r="AM463" s="71"/>
      <c r="AN463" s="71"/>
      <c r="AO463" s="71"/>
      <c r="AP463" s="71"/>
      <c r="AQ463" s="71"/>
      <c r="AR463" s="71"/>
    </row>
    <row r="464" ht="15.75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71"/>
      <c r="AJ464" s="71"/>
      <c r="AK464" s="71"/>
      <c r="AL464" s="71"/>
      <c r="AM464" s="71"/>
      <c r="AN464" s="71"/>
      <c r="AO464" s="71"/>
      <c r="AP464" s="71"/>
      <c r="AQ464" s="71"/>
      <c r="AR464" s="71"/>
    </row>
    <row r="465" ht="15.75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71"/>
      <c r="AJ465" s="71"/>
      <c r="AK465" s="71"/>
      <c r="AL465" s="71"/>
      <c r="AM465" s="71"/>
      <c r="AN465" s="71"/>
      <c r="AO465" s="71"/>
      <c r="AP465" s="71"/>
      <c r="AQ465" s="71"/>
      <c r="AR465" s="71"/>
    </row>
    <row r="466" ht="15.75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71"/>
      <c r="AJ466" s="71"/>
      <c r="AK466" s="71"/>
      <c r="AL466" s="71"/>
      <c r="AM466" s="71"/>
      <c r="AN466" s="71"/>
      <c r="AO466" s="71"/>
      <c r="AP466" s="71"/>
      <c r="AQ466" s="71"/>
      <c r="AR466" s="71"/>
    </row>
    <row r="467" ht="15.75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71"/>
      <c r="AJ467" s="71"/>
      <c r="AK467" s="71"/>
      <c r="AL467" s="71"/>
      <c r="AM467" s="71"/>
      <c r="AN467" s="71"/>
      <c r="AO467" s="71"/>
      <c r="AP467" s="71"/>
      <c r="AQ467" s="71"/>
      <c r="AR467" s="71"/>
    </row>
    <row r="468" ht="15.75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71"/>
      <c r="AJ468" s="71"/>
      <c r="AK468" s="71"/>
      <c r="AL468" s="71"/>
      <c r="AM468" s="71"/>
      <c r="AN468" s="71"/>
      <c r="AO468" s="71"/>
      <c r="AP468" s="71"/>
      <c r="AQ468" s="71"/>
      <c r="AR468" s="71"/>
    </row>
    <row r="469" ht="15.75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71"/>
      <c r="AJ469" s="71"/>
      <c r="AK469" s="71"/>
      <c r="AL469" s="71"/>
      <c r="AM469" s="71"/>
      <c r="AN469" s="71"/>
      <c r="AO469" s="71"/>
      <c r="AP469" s="71"/>
      <c r="AQ469" s="71"/>
      <c r="AR469" s="71"/>
    </row>
    <row r="470" ht="15.75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71"/>
      <c r="AJ470" s="71"/>
      <c r="AK470" s="71"/>
      <c r="AL470" s="71"/>
      <c r="AM470" s="71"/>
      <c r="AN470" s="71"/>
      <c r="AO470" s="71"/>
      <c r="AP470" s="71"/>
      <c r="AQ470" s="71"/>
      <c r="AR470" s="71"/>
    </row>
    <row r="471" ht="15.75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71"/>
      <c r="AJ471" s="71"/>
      <c r="AK471" s="71"/>
      <c r="AL471" s="71"/>
      <c r="AM471" s="71"/>
      <c r="AN471" s="71"/>
      <c r="AO471" s="71"/>
      <c r="AP471" s="71"/>
      <c r="AQ471" s="71"/>
      <c r="AR471" s="71"/>
    </row>
    <row r="472" ht="15.75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71"/>
      <c r="AJ472" s="71"/>
      <c r="AK472" s="71"/>
      <c r="AL472" s="71"/>
      <c r="AM472" s="71"/>
      <c r="AN472" s="71"/>
      <c r="AO472" s="71"/>
      <c r="AP472" s="71"/>
      <c r="AQ472" s="71"/>
      <c r="AR472" s="71"/>
    </row>
    <row r="473" ht="15.75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71"/>
      <c r="AJ473" s="71"/>
      <c r="AK473" s="71"/>
      <c r="AL473" s="71"/>
      <c r="AM473" s="71"/>
      <c r="AN473" s="71"/>
      <c r="AO473" s="71"/>
      <c r="AP473" s="71"/>
      <c r="AQ473" s="71"/>
      <c r="AR473" s="71"/>
    </row>
    <row r="474" ht="15.75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71"/>
      <c r="AJ474" s="71"/>
      <c r="AK474" s="71"/>
      <c r="AL474" s="71"/>
      <c r="AM474" s="71"/>
      <c r="AN474" s="71"/>
      <c r="AO474" s="71"/>
      <c r="AP474" s="71"/>
      <c r="AQ474" s="71"/>
      <c r="AR474" s="71"/>
    </row>
    <row r="475" ht="15.75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71"/>
      <c r="AJ475" s="71"/>
      <c r="AK475" s="71"/>
      <c r="AL475" s="71"/>
      <c r="AM475" s="71"/>
      <c r="AN475" s="71"/>
      <c r="AO475" s="71"/>
      <c r="AP475" s="71"/>
      <c r="AQ475" s="71"/>
      <c r="AR475" s="71"/>
    </row>
    <row r="476" ht="15.75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71"/>
      <c r="AJ476" s="71"/>
      <c r="AK476" s="71"/>
      <c r="AL476" s="71"/>
      <c r="AM476" s="71"/>
      <c r="AN476" s="71"/>
      <c r="AO476" s="71"/>
      <c r="AP476" s="71"/>
      <c r="AQ476" s="71"/>
      <c r="AR476" s="71"/>
    </row>
    <row r="477" ht="15.75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71"/>
      <c r="AJ477" s="71"/>
      <c r="AK477" s="71"/>
      <c r="AL477" s="71"/>
      <c r="AM477" s="71"/>
      <c r="AN477" s="71"/>
      <c r="AO477" s="71"/>
      <c r="AP477" s="71"/>
      <c r="AQ477" s="71"/>
      <c r="AR477" s="71"/>
    </row>
    <row r="478" ht="15.75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71"/>
      <c r="AJ478" s="71"/>
      <c r="AK478" s="71"/>
      <c r="AL478" s="71"/>
      <c r="AM478" s="71"/>
      <c r="AN478" s="71"/>
      <c r="AO478" s="71"/>
      <c r="AP478" s="71"/>
      <c r="AQ478" s="71"/>
      <c r="AR478" s="71"/>
    </row>
    <row r="479" ht="15.75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71"/>
      <c r="AJ479" s="71"/>
      <c r="AK479" s="71"/>
      <c r="AL479" s="71"/>
      <c r="AM479" s="71"/>
      <c r="AN479" s="71"/>
      <c r="AO479" s="71"/>
      <c r="AP479" s="71"/>
      <c r="AQ479" s="71"/>
      <c r="AR479" s="71"/>
    </row>
    <row r="480" ht="15.75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71"/>
      <c r="AJ480" s="71"/>
      <c r="AK480" s="71"/>
      <c r="AL480" s="71"/>
      <c r="AM480" s="71"/>
      <c r="AN480" s="71"/>
      <c r="AO480" s="71"/>
      <c r="AP480" s="71"/>
      <c r="AQ480" s="71"/>
      <c r="AR480" s="71"/>
    </row>
    <row r="481" ht="15.75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71"/>
      <c r="AJ481" s="71"/>
      <c r="AK481" s="71"/>
      <c r="AL481" s="71"/>
      <c r="AM481" s="71"/>
      <c r="AN481" s="71"/>
      <c r="AO481" s="71"/>
      <c r="AP481" s="71"/>
      <c r="AQ481" s="71"/>
      <c r="AR481" s="71"/>
    </row>
    <row r="482" ht="15.75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71"/>
      <c r="AJ482" s="71"/>
      <c r="AK482" s="71"/>
      <c r="AL482" s="71"/>
      <c r="AM482" s="71"/>
      <c r="AN482" s="71"/>
      <c r="AO482" s="71"/>
      <c r="AP482" s="71"/>
      <c r="AQ482" s="71"/>
      <c r="AR482" s="71"/>
    </row>
    <row r="483" ht="15.75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71"/>
      <c r="AJ483" s="71"/>
      <c r="AK483" s="71"/>
      <c r="AL483" s="71"/>
      <c r="AM483" s="71"/>
      <c r="AN483" s="71"/>
      <c r="AO483" s="71"/>
      <c r="AP483" s="71"/>
      <c r="AQ483" s="71"/>
      <c r="AR483" s="71"/>
    </row>
    <row r="484" ht="15.75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71"/>
      <c r="AJ484" s="71"/>
      <c r="AK484" s="71"/>
      <c r="AL484" s="71"/>
      <c r="AM484" s="71"/>
      <c r="AN484" s="71"/>
      <c r="AO484" s="71"/>
      <c r="AP484" s="71"/>
      <c r="AQ484" s="71"/>
      <c r="AR484" s="71"/>
    </row>
    <row r="485" ht="15.75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71"/>
      <c r="AJ485" s="71"/>
      <c r="AK485" s="71"/>
      <c r="AL485" s="71"/>
      <c r="AM485" s="71"/>
      <c r="AN485" s="71"/>
      <c r="AO485" s="71"/>
      <c r="AP485" s="71"/>
      <c r="AQ485" s="71"/>
      <c r="AR485" s="71"/>
    </row>
    <row r="486" ht="15.75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71"/>
      <c r="AJ486" s="71"/>
      <c r="AK486" s="71"/>
      <c r="AL486" s="71"/>
      <c r="AM486" s="71"/>
      <c r="AN486" s="71"/>
      <c r="AO486" s="71"/>
      <c r="AP486" s="71"/>
      <c r="AQ486" s="71"/>
      <c r="AR486" s="71"/>
    </row>
    <row r="487" ht="15.75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71"/>
      <c r="AJ487" s="71"/>
      <c r="AK487" s="71"/>
      <c r="AL487" s="71"/>
      <c r="AM487" s="71"/>
      <c r="AN487" s="71"/>
      <c r="AO487" s="71"/>
      <c r="AP487" s="71"/>
      <c r="AQ487" s="71"/>
      <c r="AR487" s="71"/>
    </row>
    <row r="488" ht="15.75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71"/>
      <c r="AJ488" s="71"/>
      <c r="AK488" s="71"/>
      <c r="AL488" s="71"/>
      <c r="AM488" s="71"/>
      <c r="AN488" s="71"/>
      <c r="AO488" s="71"/>
      <c r="AP488" s="71"/>
      <c r="AQ488" s="71"/>
      <c r="AR488" s="71"/>
    </row>
    <row r="489" ht="15.75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71"/>
      <c r="AJ489" s="71"/>
      <c r="AK489" s="71"/>
      <c r="AL489" s="71"/>
      <c r="AM489" s="71"/>
      <c r="AN489" s="71"/>
      <c r="AO489" s="71"/>
      <c r="AP489" s="71"/>
      <c r="AQ489" s="71"/>
      <c r="AR489" s="71"/>
    </row>
    <row r="490" ht="15.75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71"/>
      <c r="AJ490" s="71"/>
      <c r="AK490" s="71"/>
      <c r="AL490" s="71"/>
      <c r="AM490" s="71"/>
      <c r="AN490" s="71"/>
      <c r="AO490" s="71"/>
      <c r="AP490" s="71"/>
      <c r="AQ490" s="71"/>
      <c r="AR490" s="71"/>
    </row>
    <row r="491" ht="15.75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71"/>
      <c r="AJ491" s="71"/>
      <c r="AK491" s="71"/>
      <c r="AL491" s="71"/>
      <c r="AM491" s="71"/>
      <c r="AN491" s="71"/>
      <c r="AO491" s="71"/>
      <c r="AP491" s="71"/>
      <c r="AQ491" s="71"/>
      <c r="AR491" s="71"/>
    </row>
    <row r="492" ht="15.7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71"/>
      <c r="AJ492" s="71"/>
      <c r="AK492" s="71"/>
      <c r="AL492" s="71"/>
      <c r="AM492" s="71"/>
      <c r="AN492" s="71"/>
      <c r="AO492" s="71"/>
      <c r="AP492" s="71"/>
      <c r="AQ492" s="71"/>
      <c r="AR492" s="71"/>
    </row>
    <row r="493" ht="15.75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71"/>
      <c r="AJ493" s="71"/>
      <c r="AK493" s="71"/>
      <c r="AL493" s="71"/>
      <c r="AM493" s="71"/>
      <c r="AN493" s="71"/>
      <c r="AO493" s="71"/>
      <c r="AP493" s="71"/>
      <c r="AQ493" s="71"/>
      <c r="AR493" s="71"/>
    </row>
    <row r="494" ht="15.75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71"/>
      <c r="AJ494" s="71"/>
      <c r="AK494" s="71"/>
      <c r="AL494" s="71"/>
      <c r="AM494" s="71"/>
      <c r="AN494" s="71"/>
      <c r="AO494" s="71"/>
      <c r="AP494" s="71"/>
      <c r="AQ494" s="71"/>
      <c r="AR494" s="71"/>
    </row>
    <row r="495" ht="15.75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71"/>
      <c r="AJ495" s="71"/>
      <c r="AK495" s="71"/>
      <c r="AL495" s="71"/>
      <c r="AM495" s="71"/>
      <c r="AN495" s="71"/>
      <c r="AO495" s="71"/>
      <c r="AP495" s="71"/>
      <c r="AQ495" s="71"/>
      <c r="AR495" s="71"/>
    </row>
    <row r="496" ht="15.75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71"/>
      <c r="AJ496" s="71"/>
      <c r="AK496" s="71"/>
      <c r="AL496" s="71"/>
      <c r="AM496" s="71"/>
      <c r="AN496" s="71"/>
      <c r="AO496" s="71"/>
      <c r="AP496" s="71"/>
      <c r="AQ496" s="71"/>
      <c r="AR496" s="71"/>
    </row>
    <row r="497" ht="15.75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71"/>
      <c r="AJ497" s="71"/>
      <c r="AK497" s="71"/>
      <c r="AL497" s="71"/>
      <c r="AM497" s="71"/>
      <c r="AN497" s="71"/>
      <c r="AO497" s="71"/>
      <c r="AP497" s="71"/>
      <c r="AQ497" s="71"/>
      <c r="AR497" s="71"/>
    </row>
    <row r="498" ht="15.75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71"/>
      <c r="AJ498" s="71"/>
      <c r="AK498" s="71"/>
      <c r="AL498" s="71"/>
      <c r="AM498" s="71"/>
      <c r="AN498" s="71"/>
      <c r="AO498" s="71"/>
      <c r="AP498" s="71"/>
      <c r="AQ498" s="71"/>
      <c r="AR498" s="71"/>
    </row>
    <row r="499" ht="15.75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71"/>
      <c r="AJ499" s="71"/>
      <c r="AK499" s="71"/>
      <c r="AL499" s="71"/>
      <c r="AM499" s="71"/>
      <c r="AN499" s="71"/>
      <c r="AO499" s="71"/>
      <c r="AP499" s="71"/>
      <c r="AQ499" s="71"/>
      <c r="AR499" s="71"/>
    </row>
    <row r="500" ht="15.75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71"/>
      <c r="AJ500" s="71"/>
      <c r="AK500" s="71"/>
      <c r="AL500" s="71"/>
      <c r="AM500" s="71"/>
      <c r="AN500" s="71"/>
      <c r="AO500" s="71"/>
      <c r="AP500" s="71"/>
      <c r="AQ500" s="71"/>
      <c r="AR500" s="71"/>
    </row>
    <row r="501" ht="15.75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71"/>
      <c r="AJ501" s="71"/>
      <c r="AK501" s="71"/>
      <c r="AL501" s="71"/>
      <c r="AM501" s="71"/>
      <c r="AN501" s="71"/>
      <c r="AO501" s="71"/>
      <c r="AP501" s="71"/>
      <c r="AQ501" s="71"/>
      <c r="AR501" s="71"/>
    </row>
    <row r="502" ht="15.75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71"/>
      <c r="AJ502" s="71"/>
      <c r="AK502" s="71"/>
      <c r="AL502" s="71"/>
      <c r="AM502" s="71"/>
      <c r="AN502" s="71"/>
      <c r="AO502" s="71"/>
      <c r="AP502" s="71"/>
      <c r="AQ502" s="71"/>
      <c r="AR502" s="71"/>
    </row>
    <row r="503" ht="15.75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71"/>
      <c r="AJ503" s="71"/>
      <c r="AK503" s="71"/>
      <c r="AL503" s="71"/>
      <c r="AM503" s="71"/>
      <c r="AN503" s="71"/>
      <c r="AO503" s="71"/>
      <c r="AP503" s="71"/>
      <c r="AQ503" s="71"/>
      <c r="AR503" s="71"/>
    </row>
    <row r="504" ht="15.75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71"/>
      <c r="AJ504" s="71"/>
      <c r="AK504" s="71"/>
      <c r="AL504" s="71"/>
      <c r="AM504" s="71"/>
      <c r="AN504" s="71"/>
      <c r="AO504" s="71"/>
      <c r="AP504" s="71"/>
      <c r="AQ504" s="71"/>
      <c r="AR504" s="71"/>
    </row>
    <row r="505" ht="15.75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71"/>
      <c r="AJ505" s="71"/>
      <c r="AK505" s="71"/>
      <c r="AL505" s="71"/>
      <c r="AM505" s="71"/>
      <c r="AN505" s="71"/>
      <c r="AO505" s="71"/>
      <c r="AP505" s="71"/>
      <c r="AQ505" s="71"/>
      <c r="AR505" s="71"/>
    </row>
    <row r="506" ht="15.75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71"/>
      <c r="AJ506" s="71"/>
      <c r="AK506" s="71"/>
      <c r="AL506" s="71"/>
      <c r="AM506" s="71"/>
      <c r="AN506" s="71"/>
      <c r="AO506" s="71"/>
      <c r="AP506" s="71"/>
      <c r="AQ506" s="71"/>
      <c r="AR506" s="71"/>
    </row>
    <row r="507" ht="15.75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71"/>
      <c r="AJ507" s="71"/>
      <c r="AK507" s="71"/>
      <c r="AL507" s="71"/>
      <c r="AM507" s="71"/>
      <c r="AN507" s="71"/>
      <c r="AO507" s="71"/>
      <c r="AP507" s="71"/>
      <c r="AQ507" s="71"/>
      <c r="AR507" s="71"/>
    </row>
    <row r="508" ht="15.75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71"/>
      <c r="AJ508" s="71"/>
      <c r="AK508" s="71"/>
      <c r="AL508" s="71"/>
      <c r="AM508" s="71"/>
      <c r="AN508" s="71"/>
      <c r="AO508" s="71"/>
      <c r="AP508" s="71"/>
      <c r="AQ508" s="71"/>
      <c r="AR508" s="71"/>
    </row>
    <row r="509" ht="15.75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71"/>
      <c r="AJ509" s="71"/>
      <c r="AK509" s="71"/>
      <c r="AL509" s="71"/>
      <c r="AM509" s="71"/>
      <c r="AN509" s="71"/>
      <c r="AO509" s="71"/>
      <c r="AP509" s="71"/>
      <c r="AQ509" s="71"/>
      <c r="AR509" s="71"/>
    </row>
    <row r="510" ht="15.75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71"/>
      <c r="AJ510" s="71"/>
      <c r="AK510" s="71"/>
      <c r="AL510" s="71"/>
      <c r="AM510" s="71"/>
      <c r="AN510" s="71"/>
      <c r="AO510" s="71"/>
      <c r="AP510" s="71"/>
      <c r="AQ510" s="71"/>
      <c r="AR510" s="71"/>
    </row>
    <row r="511" ht="15.75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71"/>
      <c r="AJ511" s="71"/>
      <c r="AK511" s="71"/>
      <c r="AL511" s="71"/>
      <c r="AM511" s="71"/>
      <c r="AN511" s="71"/>
      <c r="AO511" s="71"/>
      <c r="AP511" s="71"/>
      <c r="AQ511" s="71"/>
      <c r="AR511" s="71"/>
    </row>
    <row r="512" ht="15.75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71"/>
      <c r="AJ512" s="71"/>
      <c r="AK512" s="71"/>
      <c r="AL512" s="71"/>
      <c r="AM512" s="71"/>
      <c r="AN512" s="71"/>
      <c r="AO512" s="71"/>
      <c r="AP512" s="71"/>
      <c r="AQ512" s="71"/>
      <c r="AR512" s="71"/>
    </row>
    <row r="513" ht="15.75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71"/>
      <c r="AJ513" s="71"/>
      <c r="AK513" s="71"/>
      <c r="AL513" s="71"/>
      <c r="AM513" s="71"/>
      <c r="AN513" s="71"/>
      <c r="AO513" s="71"/>
      <c r="AP513" s="71"/>
      <c r="AQ513" s="71"/>
      <c r="AR513" s="71"/>
    </row>
    <row r="514" ht="15.75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71"/>
      <c r="AJ514" s="71"/>
      <c r="AK514" s="71"/>
      <c r="AL514" s="71"/>
      <c r="AM514" s="71"/>
      <c r="AN514" s="71"/>
      <c r="AO514" s="71"/>
      <c r="AP514" s="71"/>
      <c r="AQ514" s="71"/>
      <c r="AR514" s="71"/>
    </row>
    <row r="515" ht="15.75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71"/>
      <c r="AJ515" s="71"/>
      <c r="AK515" s="71"/>
      <c r="AL515" s="71"/>
      <c r="AM515" s="71"/>
      <c r="AN515" s="71"/>
      <c r="AO515" s="71"/>
      <c r="AP515" s="71"/>
      <c r="AQ515" s="71"/>
      <c r="AR515" s="71"/>
    </row>
    <row r="516" ht="15.75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71"/>
      <c r="AJ516" s="71"/>
      <c r="AK516" s="71"/>
      <c r="AL516" s="71"/>
      <c r="AM516" s="71"/>
      <c r="AN516" s="71"/>
      <c r="AO516" s="71"/>
      <c r="AP516" s="71"/>
      <c r="AQ516" s="71"/>
      <c r="AR516" s="71"/>
    </row>
    <row r="517" ht="15.75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71"/>
      <c r="AJ517" s="71"/>
      <c r="AK517" s="71"/>
      <c r="AL517" s="71"/>
      <c r="AM517" s="71"/>
      <c r="AN517" s="71"/>
      <c r="AO517" s="71"/>
      <c r="AP517" s="71"/>
      <c r="AQ517" s="71"/>
      <c r="AR517" s="71"/>
    </row>
    <row r="518" ht="15.75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71"/>
      <c r="AJ518" s="71"/>
      <c r="AK518" s="71"/>
      <c r="AL518" s="71"/>
      <c r="AM518" s="71"/>
      <c r="AN518" s="71"/>
      <c r="AO518" s="71"/>
      <c r="AP518" s="71"/>
      <c r="AQ518" s="71"/>
      <c r="AR518" s="71"/>
    </row>
    <row r="519" ht="15.75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71"/>
      <c r="AJ519" s="71"/>
      <c r="AK519" s="71"/>
      <c r="AL519" s="71"/>
      <c r="AM519" s="71"/>
      <c r="AN519" s="71"/>
      <c r="AO519" s="71"/>
      <c r="AP519" s="71"/>
      <c r="AQ519" s="71"/>
      <c r="AR519" s="71"/>
    </row>
    <row r="520" ht="15.75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71"/>
      <c r="AJ520" s="71"/>
      <c r="AK520" s="71"/>
      <c r="AL520" s="71"/>
      <c r="AM520" s="71"/>
      <c r="AN520" s="71"/>
      <c r="AO520" s="71"/>
      <c r="AP520" s="71"/>
      <c r="AQ520" s="71"/>
      <c r="AR520" s="71"/>
    </row>
    <row r="521" ht="15.75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71"/>
      <c r="AJ521" s="71"/>
      <c r="AK521" s="71"/>
      <c r="AL521" s="71"/>
      <c r="AM521" s="71"/>
      <c r="AN521" s="71"/>
      <c r="AO521" s="71"/>
      <c r="AP521" s="71"/>
      <c r="AQ521" s="71"/>
      <c r="AR521" s="71"/>
    </row>
    <row r="522" ht="15.75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71"/>
      <c r="AJ522" s="71"/>
      <c r="AK522" s="71"/>
      <c r="AL522" s="71"/>
      <c r="AM522" s="71"/>
      <c r="AN522" s="71"/>
      <c r="AO522" s="71"/>
      <c r="AP522" s="71"/>
      <c r="AQ522" s="71"/>
      <c r="AR522" s="71"/>
    </row>
    <row r="523" ht="15.75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71"/>
      <c r="AJ523" s="71"/>
      <c r="AK523" s="71"/>
      <c r="AL523" s="71"/>
      <c r="AM523" s="71"/>
      <c r="AN523" s="71"/>
      <c r="AO523" s="71"/>
      <c r="AP523" s="71"/>
      <c r="AQ523" s="71"/>
      <c r="AR523" s="71"/>
    </row>
    <row r="524" ht="15.75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71"/>
      <c r="AJ524" s="71"/>
      <c r="AK524" s="71"/>
      <c r="AL524" s="71"/>
      <c r="AM524" s="71"/>
      <c r="AN524" s="71"/>
      <c r="AO524" s="71"/>
      <c r="AP524" s="71"/>
      <c r="AQ524" s="71"/>
      <c r="AR524" s="71"/>
    </row>
    <row r="525" ht="15.75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71"/>
      <c r="AJ525" s="71"/>
      <c r="AK525" s="71"/>
      <c r="AL525" s="71"/>
      <c r="AM525" s="71"/>
      <c r="AN525" s="71"/>
      <c r="AO525" s="71"/>
      <c r="AP525" s="71"/>
      <c r="AQ525" s="71"/>
      <c r="AR525" s="71"/>
    </row>
    <row r="526" ht="15.7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71"/>
      <c r="AJ526" s="71"/>
      <c r="AK526" s="71"/>
      <c r="AL526" s="71"/>
      <c r="AM526" s="71"/>
      <c r="AN526" s="71"/>
      <c r="AO526" s="71"/>
      <c r="AP526" s="71"/>
      <c r="AQ526" s="71"/>
      <c r="AR526" s="71"/>
    </row>
    <row r="527" ht="15.75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71"/>
      <c r="AJ527" s="71"/>
      <c r="AK527" s="71"/>
      <c r="AL527" s="71"/>
      <c r="AM527" s="71"/>
      <c r="AN527" s="71"/>
      <c r="AO527" s="71"/>
      <c r="AP527" s="71"/>
      <c r="AQ527" s="71"/>
      <c r="AR527" s="71"/>
    </row>
    <row r="528" ht="15.75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71"/>
      <c r="AJ528" s="71"/>
      <c r="AK528" s="71"/>
      <c r="AL528" s="71"/>
      <c r="AM528" s="71"/>
      <c r="AN528" s="71"/>
      <c r="AO528" s="71"/>
      <c r="AP528" s="71"/>
      <c r="AQ528" s="71"/>
      <c r="AR528" s="71"/>
    </row>
    <row r="529" ht="15.75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71"/>
      <c r="AJ529" s="71"/>
      <c r="AK529" s="71"/>
      <c r="AL529" s="71"/>
      <c r="AM529" s="71"/>
      <c r="AN529" s="71"/>
      <c r="AO529" s="71"/>
      <c r="AP529" s="71"/>
      <c r="AQ529" s="71"/>
      <c r="AR529" s="71"/>
    </row>
    <row r="530" ht="15.75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71"/>
      <c r="AJ530" s="71"/>
      <c r="AK530" s="71"/>
      <c r="AL530" s="71"/>
      <c r="AM530" s="71"/>
      <c r="AN530" s="71"/>
      <c r="AO530" s="71"/>
      <c r="AP530" s="71"/>
      <c r="AQ530" s="71"/>
      <c r="AR530" s="71"/>
    </row>
    <row r="531" ht="15.75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71"/>
      <c r="AJ531" s="71"/>
      <c r="AK531" s="71"/>
      <c r="AL531" s="71"/>
      <c r="AM531" s="71"/>
      <c r="AN531" s="71"/>
      <c r="AO531" s="71"/>
      <c r="AP531" s="71"/>
      <c r="AQ531" s="71"/>
      <c r="AR531" s="71"/>
    </row>
    <row r="532" ht="15.75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71"/>
      <c r="AJ532" s="71"/>
      <c r="AK532" s="71"/>
      <c r="AL532" s="71"/>
      <c r="AM532" s="71"/>
      <c r="AN532" s="71"/>
      <c r="AO532" s="71"/>
      <c r="AP532" s="71"/>
      <c r="AQ532" s="71"/>
      <c r="AR532" s="71"/>
    </row>
    <row r="533" ht="15.75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71"/>
      <c r="AJ533" s="71"/>
      <c r="AK533" s="71"/>
      <c r="AL533" s="71"/>
      <c r="AM533" s="71"/>
      <c r="AN533" s="71"/>
      <c r="AO533" s="71"/>
      <c r="AP533" s="71"/>
      <c r="AQ533" s="71"/>
      <c r="AR533" s="71"/>
    </row>
    <row r="534" ht="15.75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71"/>
      <c r="AJ534" s="71"/>
      <c r="AK534" s="71"/>
      <c r="AL534" s="71"/>
      <c r="AM534" s="71"/>
      <c r="AN534" s="71"/>
      <c r="AO534" s="71"/>
      <c r="AP534" s="71"/>
      <c r="AQ534" s="71"/>
      <c r="AR534" s="71"/>
    </row>
    <row r="535" ht="15.75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71"/>
      <c r="AJ535" s="71"/>
      <c r="AK535" s="71"/>
      <c r="AL535" s="71"/>
      <c r="AM535" s="71"/>
      <c r="AN535" s="71"/>
      <c r="AO535" s="71"/>
      <c r="AP535" s="71"/>
      <c r="AQ535" s="71"/>
      <c r="AR535" s="71"/>
    </row>
    <row r="536" ht="15.75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71"/>
      <c r="AJ536" s="71"/>
      <c r="AK536" s="71"/>
      <c r="AL536" s="71"/>
      <c r="AM536" s="71"/>
      <c r="AN536" s="71"/>
      <c r="AO536" s="71"/>
      <c r="AP536" s="71"/>
      <c r="AQ536" s="71"/>
      <c r="AR536" s="71"/>
    </row>
    <row r="537" ht="15.75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71"/>
      <c r="AJ537" s="71"/>
      <c r="AK537" s="71"/>
      <c r="AL537" s="71"/>
      <c r="AM537" s="71"/>
      <c r="AN537" s="71"/>
      <c r="AO537" s="71"/>
      <c r="AP537" s="71"/>
      <c r="AQ537" s="71"/>
      <c r="AR537" s="71"/>
    </row>
    <row r="538" ht="15.75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71"/>
      <c r="AJ538" s="71"/>
      <c r="AK538" s="71"/>
      <c r="AL538" s="71"/>
      <c r="AM538" s="71"/>
      <c r="AN538" s="71"/>
      <c r="AO538" s="71"/>
      <c r="AP538" s="71"/>
      <c r="AQ538" s="71"/>
      <c r="AR538" s="71"/>
    </row>
    <row r="539" ht="15.75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71"/>
      <c r="AJ539" s="71"/>
      <c r="AK539" s="71"/>
      <c r="AL539" s="71"/>
      <c r="AM539" s="71"/>
      <c r="AN539" s="71"/>
      <c r="AO539" s="71"/>
      <c r="AP539" s="71"/>
      <c r="AQ539" s="71"/>
      <c r="AR539" s="71"/>
    </row>
    <row r="540" ht="15.75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71"/>
      <c r="AJ540" s="71"/>
      <c r="AK540" s="71"/>
      <c r="AL540" s="71"/>
      <c r="AM540" s="71"/>
      <c r="AN540" s="71"/>
      <c r="AO540" s="71"/>
      <c r="AP540" s="71"/>
      <c r="AQ540" s="71"/>
      <c r="AR540" s="71"/>
    </row>
    <row r="541" ht="15.75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71"/>
      <c r="AJ541" s="71"/>
      <c r="AK541" s="71"/>
      <c r="AL541" s="71"/>
      <c r="AM541" s="71"/>
      <c r="AN541" s="71"/>
      <c r="AO541" s="71"/>
      <c r="AP541" s="71"/>
      <c r="AQ541" s="71"/>
      <c r="AR541" s="71"/>
    </row>
    <row r="542" ht="15.75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71"/>
      <c r="AJ542" s="71"/>
      <c r="AK542" s="71"/>
      <c r="AL542" s="71"/>
      <c r="AM542" s="71"/>
      <c r="AN542" s="71"/>
      <c r="AO542" s="71"/>
      <c r="AP542" s="71"/>
      <c r="AQ542" s="71"/>
      <c r="AR542" s="71"/>
    </row>
    <row r="543" ht="15.75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71"/>
      <c r="AJ543" s="71"/>
      <c r="AK543" s="71"/>
      <c r="AL543" s="71"/>
      <c r="AM543" s="71"/>
      <c r="AN543" s="71"/>
      <c r="AO543" s="71"/>
      <c r="AP543" s="71"/>
      <c r="AQ543" s="71"/>
      <c r="AR543" s="71"/>
    </row>
    <row r="544" ht="15.75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71"/>
      <c r="AJ544" s="71"/>
      <c r="AK544" s="71"/>
      <c r="AL544" s="71"/>
      <c r="AM544" s="71"/>
      <c r="AN544" s="71"/>
      <c r="AO544" s="71"/>
      <c r="AP544" s="71"/>
      <c r="AQ544" s="71"/>
      <c r="AR544" s="71"/>
    </row>
    <row r="545" ht="15.75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71"/>
      <c r="AJ545" s="71"/>
      <c r="AK545" s="71"/>
      <c r="AL545" s="71"/>
      <c r="AM545" s="71"/>
      <c r="AN545" s="71"/>
      <c r="AO545" s="71"/>
      <c r="AP545" s="71"/>
      <c r="AQ545" s="71"/>
      <c r="AR545" s="71"/>
    </row>
    <row r="546" ht="15.75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71"/>
      <c r="AJ546" s="71"/>
      <c r="AK546" s="71"/>
      <c r="AL546" s="71"/>
      <c r="AM546" s="71"/>
      <c r="AN546" s="71"/>
      <c r="AO546" s="71"/>
      <c r="AP546" s="71"/>
      <c r="AQ546" s="71"/>
      <c r="AR546" s="71"/>
    </row>
    <row r="547" ht="15.75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71"/>
      <c r="AJ547" s="71"/>
      <c r="AK547" s="71"/>
      <c r="AL547" s="71"/>
      <c r="AM547" s="71"/>
      <c r="AN547" s="71"/>
      <c r="AO547" s="71"/>
      <c r="AP547" s="71"/>
      <c r="AQ547" s="71"/>
      <c r="AR547" s="71"/>
    </row>
    <row r="548" ht="15.75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71"/>
      <c r="AJ548" s="71"/>
      <c r="AK548" s="71"/>
      <c r="AL548" s="71"/>
      <c r="AM548" s="71"/>
      <c r="AN548" s="71"/>
      <c r="AO548" s="71"/>
      <c r="AP548" s="71"/>
      <c r="AQ548" s="71"/>
      <c r="AR548" s="71"/>
    </row>
    <row r="549" ht="15.75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71"/>
      <c r="AJ549" s="71"/>
      <c r="AK549" s="71"/>
      <c r="AL549" s="71"/>
      <c r="AM549" s="71"/>
      <c r="AN549" s="71"/>
      <c r="AO549" s="71"/>
      <c r="AP549" s="71"/>
      <c r="AQ549" s="71"/>
      <c r="AR549" s="71"/>
    </row>
    <row r="550" ht="15.75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71"/>
      <c r="AJ550" s="71"/>
      <c r="AK550" s="71"/>
      <c r="AL550" s="71"/>
      <c r="AM550" s="71"/>
      <c r="AN550" s="71"/>
      <c r="AO550" s="71"/>
      <c r="AP550" s="71"/>
      <c r="AQ550" s="71"/>
      <c r="AR550" s="71"/>
    </row>
    <row r="551" ht="15.75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71"/>
      <c r="AJ551" s="71"/>
      <c r="AK551" s="71"/>
      <c r="AL551" s="71"/>
      <c r="AM551" s="71"/>
      <c r="AN551" s="71"/>
      <c r="AO551" s="71"/>
      <c r="AP551" s="71"/>
      <c r="AQ551" s="71"/>
      <c r="AR551" s="71"/>
    </row>
    <row r="552" ht="15.75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71"/>
      <c r="AJ552" s="71"/>
      <c r="AK552" s="71"/>
      <c r="AL552" s="71"/>
      <c r="AM552" s="71"/>
      <c r="AN552" s="71"/>
      <c r="AO552" s="71"/>
      <c r="AP552" s="71"/>
      <c r="AQ552" s="71"/>
      <c r="AR552" s="71"/>
    </row>
    <row r="553" ht="15.75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71"/>
      <c r="AJ553" s="71"/>
      <c r="AK553" s="71"/>
      <c r="AL553" s="71"/>
      <c r="AM553" s="71"/>
      <c r="AN553" s="71"/>
      <c r="AO553" s="71"/>
      <c r="AP553" s="71"/>
      <c r="AQ553" s="71"/>
      <c r="AR553" s="71"/>
    </row>
    <row r="554" ht="15.75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71"/>
      <c r="AJ554" s="71"/>
      <c r="AK554" s="71"/>
      <c r="AL554" s="71"/>
      <c r="AM554" s="71"/>
      <c r="AN554" s="71"/>
      <c r="AO554" s="71"/>
      <c r="AP554" s="71"/>
      <c r="AQ554" s="71"/>
      <c r="AR554" s="71"/>
    </row>
    <row r="555" ht="15.75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71"/>
      <c r="AJ555" s="71"/>
      <c r="AK555" s="71"/>
      <c r="AL555" s="71"/>
      <c r="AM555" s="71"/>
      <c r="AN555" s="71"/>
      <c r="AO555" s="71"/>
      <c r="AP555" s="71"/>
      <c r="AQ555" s="71"/>
      <c r="AR555" s="71"/>
    </row>
    <row r="556" ht="15.75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71"/>
      <c r="AJ556" s="71"/>
      <c r="AK556" s="71"/>
      <c r="AL556" s="71"/>
      <c r="AM556" s="71"/>
      <c r="AN556" s="71"/>
      <c r="AO556" s="71"/>
      <c r="AP556" s="71"/>
      <c r="AQ556" s="71"/>
      <c r="AR556" s="71"/>
    </row>
    <row r="557" ht="15.75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71"/>
      <c r="AJ557" s="71"/>
      <c r="AK557" s="71"/>
      <c r="AL557" s="71"/>
      <c r="AM557" s="71"/>
      <c r="AN557" s="71"/>
      <c r="AO557" s="71"/>
      <c r="AP557" s="71"/>
      <c r="AQ557" s="71"/>
      <c r="AR557" s="71"/>
    </row>
    <row r="558" ht="15.75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71"/>
      <c r="AJ558" s="71"/>
      <c r="AK558" s="71"/>
      <c r="AL558" s="71"/>
      <c r="AM558" s="71"/>
      <c r="AN558" s="71"/>
      <c r="AO558" s="71"/>
      <c r="AP558" s="71"/>
      <c r="AQ558" s="71"/>
      <c r="AR558" s="71"/>
    </row>
    <row r="559" ht="15.75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71"/>
      <c r="AJ559" s="71"/>
      <c r="AK559" s="71"/>
      <c r="AL559" s="71"/>
      <c r="AM559" s="71"/>
      <c r="AN559" s="71"/>
      <c r="AO559" s="71"/>
      <c r="AP559" s="71"/>
      <c r="AQ559" s="71"/>
      <c r="AR559" s="71"/>
    </row>
    <row r="560" ht="15.75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71"/>
      <c r="AJ560" s="71"/>
      <c r="AK560" s="71"/>
      <c r="AL560" s="71"/>
      <c r="AM560" s="71"/>
      <c r="AN560" s="71"/>
      <c r="AO560" s="71"/>
      <c r="AP560" s="71"/>
      <c r="AQ560" s="71"/>
      <c r="AR560" s="71"/>
    </row>
    <row r="561" ht="15.75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71"/>
      <c r="AJ561" s="71"/>
      <c r="AK561" s="71"/>
      <c r="AL561" s="71"/>
      <c r="AM561" s="71"/>
      <c r="AN561" s="71"/>
      <c r="AO561" s="71"/>
      <c r="AP561" s="71"/>
      <c r="AQ561" s="71"/>
      <c r="AR561" s="71"/>
    </row>
    <row r="562" ht="15.75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71"/>
      <c r="AQ562" s="71"/>
      <c r="AR562" s="71"/>
    </row>
    <row r="563" ht="15.75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71"/>
      <c r="AJ563" s="71"/>
      <c r="AK563" s="71"/>
      <c r="AL563" s="71"/>
      <c r="AM563" s="71"/>
      <c r="AN563" s="71"/>
      <c r="AO563" s="71"/>
      <c r="AP563" s="71"/>
      <c r="AQ563" s="71"/>
      <c r="AR563" s="71"/>
    </row>
    <row r="564" ht="15.75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71"/>
      <c r="AJ564" s="71"/>
      <c r="AK564" s="71"/>
      <c r="AL564" s="71"/>
      <c r="AM564" s="71"/>
      <c r="AN564" s="71"/>
      <c r="AO564" s="71"/>
      <c r="AP564" s="71"/>
      <c r="AQ564" s="71"/>
      <c r="AR564" s="71"/>
    </row>
    <row r="565" ht="15.75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71"/>
      <c r="AJ565" s="71"/>
      <c r="AK565" s="71"/>
      <c r="AL565" s="71"/>
      <c r="AM565" s="71"/>
      <c r="AN565" s="71"/>
      <c r="AO565" s="71"/>
      <c r="AP565" s="71"/>
      <c r="AQ565" s="71"/>
      <c r="AR565" s="71"/>
    </row>
    <row r="566" ht="15.75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71"/>
      <c r="AJ566" s="71"/>
      <c r="AK566" s="71"/>
      <c r="AL566" s="71"/>
      <c r="AM566" s="71"/>
      <c r="AN566" s="71"/>
      <c r="AO566" s="71"/>
      <c r="AP566" s="71"/>
      <c r="AQ566" s="71"/>
      <c r="AR566" s="71"/>
    </row>
    <row r="567" ht="15.75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71"/>
      <c r="AJ567" s="71"/>
      <c r="AK567" s="71"/>
      <c r="AL567" s="71"/>
      <c r="AM567" s="71"/>
      <c r="AN567" s="71"/>
      <c r="AO567" s="71"/>
      <c r="AP567" s="71"/>
      <c r="AQ567" s="71"/>
      <c r="AR567" s="71"/>
    </row>
    <row r="568" ht="15.75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71"/>
      <c r="AJ568" s="71"/>
      <c r="AK568" s="71"/>
      <c r="AL568" s="71"/>
      <c r="AM568" s="71"/>
      <c r="AN568" s="71"/>
      <c r="AO568" s="71"/>
      <c r="AP568" s="71"/>
      <c r="AQ568" s="71"/>
      <c r="AR568" s="71"/>
    </row>
    <row r="569" ht="15.75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71"/>
      <c r="AJ569" s="71"/>
      <c r="AK569" s="71"/>
      <c r="AL569" s="71"/>
      <c r="AM569" s="71"/>
      <c r="AN569" s="71"/>
      <c r="AO569" s="71"/>
      <c r="AP569" s="71"/>
      <c r="AQ569" s="71"/>
      <c r="AR569" s="71"/>
    </row>
    <row r="570" ht="15.75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71"/>
      <c r="AJ570" s="71"/>
      <c r="AK570" s="71"/>
      <c r="AL570" s="71"/>
      <c r="AM570" s="71"/>
      <c r="AN570" s="71"/>
      <c r="AO570" s="71"/>
      <c r="AP570" s="71"/>
      <c r="AQ570" s="71"/>
      <c r="AR570" s="71"/>
    </row>
    <row r="571" ht="15.75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71"/>
      <c r="AJ571" s="71"/>
      <c r="AK571" s="71"/>
      <c r="AL571" s="71"/>
      <c r="AM571" s="71"/>
      <c r="AN571" s="71"/>
      <c r="AO571" s="71"/>
      <c r="AP571" s="71"/>
      <c r="AQ571" s="71"/>
      <c r="AR571" s="71"/>
    </row>
    <row r="572" ht="15.75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71"/>
      <c r="AJ572" s="71"/>
      <c r="AK572" s="71"/>
      <c r="AL572" s="71"/>
      <c r="AM572" s="71"/>
      <c r="AN572" s="71"/>
      <c r="AO572" s="71"/>
      <c r="AP572" s="71"/>
      <c r="AQ572" s="71"/>
      <c r="AR572" s="71"/>
    </row>
    <row r="573" ht="15.75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71"/>
      <c r="AJ573" s="71"/>
      <c r="AK573" s="71"/>
      <c r="AL573" s="71"/>
      <c r="AM573" s="71"/>
      <c r="AN573" s="71"/>
      <c r="AO573" s="71"/>
      <c r="AP573" s="71"/>
      <c r="AQ573" s="71"/>
      <c r="AR573" s="71"/>
    </row>
    <row r="574" ht="15.75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71"/>
      <c r="AJ574" s="71"/>
      <c r="AK574" s="71"/>
      <c r="AL574" s="71"/>
      <c r="AM574" s="71"/>
      <c r="AN574" s="71"/>
      <c r="AO574" s="71"/>
      <c r="AP574" s="71"/>
      <c r="AQ574" s="71"/>
      <c r="AR574" s="71"/>
    </row>
    <row r="575" ht="15.75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71"/>
      <c r="AJ575" s="71"/>
      <c r="AK575" s="71"/>
      <c r="AL575" s="71"/>
      <c r="AM575" s="71"/>
      <c r="AN575" s="71"/>
      <c r="AO575" s="71"/>
      <c r="AP575" s="71"/>
      <c r="AQ575" s="71"/>
      <c r="AR575" s="71"/>
    </row>
    <row r="576" ht="15.75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71"/>
      <c r="AJ576" s="71"/>
      <c r="AK576" s="71"/>
      <c r="AL576" s="71"/>
      <c r="AM576" s="71"/>
      <c r="AN576" s="71"/>
      <c r="AO576" s="71"/>
      <c r="AP576" s="71"/>
      <c r="AQ576" s="71"/>
      <c r="AR576" s="71"/>
    </row>
    <row r="577" ht="15.75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71"/>
      <c r="AJ577" s="71"/>
      <c r="AK577" s="71"/>
      <c r="AL577" s="71"/>
      <c r="AM577" s="71"/>
      <c r="AN577" s="71"/>
      <c r="AO577" s="71"/>
      <c r="AP577" s="71"/>
      <c r="AQ577" s="71"/>
      <c r="AR577" s="71"/>
    </row>
    <row r="578" ht="15.7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71"/>
      <c r="AJ578" s="71"/>
      <c r="AK578" s="71"/>
      <c r="AL578" s="71"/>
      <c r="AM578" s="71"/>
      <c r="AN578" s="71"/>
      <c r="AO578" s="71"/>
      <c r="AP578" s="71"/>
      <c r="AQ578" s="71"/>
      <c r="AR578" s="71"/>
    </row>
    <row r="579" ht="15.7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71"/>
      <c r="AJ579" s="71"/>
      <c r="AK579" s="71"/>
      <c r="AL579" s="71"/>
      <c r="AM579" s="71"/>
      <c r="AN579" s="71"/>
      <c r="AO579" s="71"/>
      <c r="AP579" s="71"/>
      <c r="AQ579" s="71"/>
      <c r="AR579" s="71"/>
    </row>
    <row r="580" ht="15.75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71"/>
      <c r="AJ580" s="71"/>
      <c r="AK580" s="71"/>
      <c r="AL580" s="71"/>
      <c r="AM580" s="71"/>
      <c r="AN580" s="71"/>
      <c r="AO580" s="71"/>
      <c r="AP580" s="71"/>
      <c r="AQ580" s="71"/>
      <c r="AR580" s="71"/>
    </row>
    <row r="581" ht="15.75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71"/>
      <c r="AQ581" s="71"/>
      <c r="AR581" s="71"/>
    </row>
    <row r="582" ht="15.75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71"/>
      <c r="AJ582" s="71"/>
      <c r="AK582" s="71"/>
      <c r="AL582" s="71"/>
      <c r="AM582" s="71"/>
      <c r="AN582" s="71"/>
      <c r="AO582" s="71"/>
      <c r="AP582" s="71"/>
      <c r="AQ582" s="71"/>
      <c r="AR582" s="71"/>
    </row>
    <row r="583" ht="15.75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71"/>
      <c r="AJ583" s="71"/>
      <c r="AK583" s="71"/>
      <c r="AL583" s="71"/>
      <c r="AM583" s="71"/>
      <c r="AN583" s="71"/>
      <c r="AO583" s="71"/>
      <c r="AP583" s="71"/>
      <c r="AQ583" s="71"/>
      <c r="AR583" s="71"/>
    </row>
    <row r="584" ht="15.75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71"/>
      <c r="AJ584" s="71"/>
      <c r="AK584" s="71"/>
      <c r="AL584" s="71"/>
      <c r="AM584" s="71"/>
      <c r="AN584" s="71"/>
      <c r="AO584" s="71"/>
      <c r="AP584" s="71"/>
      <c r="AQ584" s="71"/>
      <c r="AR584" s="71"/>
    </row>
    <row r="585" ht="15.75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71"/>
      <c r="AJ585" s="71"/>
      <c r="AK585" s="71"/>
      <c r="AL585" s="71"/>
      <c r="AM585" s="71"/>
      <c r="AN585" s="71"/>
      <c r="AO585" s="71"/>
      <c r="AP585" s="71"/>
      <c r="AQ585" s="71"/>
      <c r="AR585" s="71"/>
    </row>
    <row r="586" ht="15.75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71"/>
      <c r="AJ586" s="71"/>
      <c r="AK586" s="71"/>
      <c r="AL586" s="71"/>
      <c r="AM586" s="71"/>
      <c r="AN586" s="71"/>
      <c r="AO586" s="71"/>
      <c r="AP586" s="71"/>
      <c r="AQ586" s="71"/>
      <c r="AR586" s="71"/>
    </row>
    <row r="587" ht="15.75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71"/>
      <c r="AJ587" s="71"/>
      <c r="AK587" s="71"/>
      <c r="AL587" s="71"/>
      <c r="AM587" s="71"/>
      <c r="AN587" s="71"/>
      <c r="AO587" s="71"/>
      <c r="AP587" s="71"/>
      <c r="AQ587" s="71"/>
      <c r="AR587" s="71"/>
    </row>
    <row r="588" ht="15.75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71"/>
      <c r="AJ588" s="71"/>
      <c r="AK588" s="71"/>
      <c r="AL588" s="71"/>
      <c r="AM588" s="71"/>
      <c r="AN588" s="71"/>
      <c r="AO588" s="71"/>
      <c r="AP588" s="71"/>
      <c r="AQ588" s="71"/>
      <c r="AR588" s="71"/>
    </row>
    <row r="589" ht="15.75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71"/>
      <c r="AJ589" s="71"/>
      <c r="AK589" s="71"/>
      <c r="AL589" s="71"/>
      <c r="AM589" s="71"/>
      <c r="AN589" s="71"/>
      <c r="AO589" s="71"/>
      <c r="AP589" s="71"/>
      <c r="AQ589" s="71"/>
      <c r="AR589" s="71"/>
    </row>
    <row r="590" ht="15.75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  <c r="AR590" s="71"/>
    </row>
    <row r="591" ht="15.75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  <c r="AR591" s="71"/>
    </row>
    <row r="592" ht="15.75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71"/>
      <c r="AJ592" s="71"/>
      <c r="AK592" s="71"/>
      <c r="AL592" s="71"/>
      <c r="AM592" s="71"/>
      <c r="AN592" s="71"/>
      <c r="AO592" s="71"/>
      <c r="AP592" s="71"/>
      <c r="AQ592" s="71"/>
      <c r="AR592" s="71"/>
    </row>
    <row r="593" ht="15.75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71"/>
      <c r="AJ593" s="71"/>
      <c r="AK593" s="71"/>
      <c r="AL593" s="71"/>
      <c r="AM593" s="71"/>
      <c r="AN593" s="71"/>
      <c r="AO593" s="71"/>
      <c r="AP593" s="71"/>
      <c r="AQ593" s="71"/>
      <c r="AR593" s="71"/>
    </row>
    <row r="594" ht="15.75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71"/>
      <c r="AJ594" s="71"/>
      <c r="AK594" s="71"/>
      <c r="AL594" s="71"/>
      <c r="AM594" s="71"/>
      <c r="AN594" s="71"/>
      <c r="AO594" s="71"/>
      <c r="AP594" s="71"/>
      <c r="AQ594" s="71"/>
      <c r="AR594" s="71"/>
    </row>
    <row r="595" ht="15.75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  <c r="AR595" s="71"/>
    </row>
    <row r="596" ht="15.75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</row>
    <row r="597" ht="15.75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</row>
    <row r="598" ht="15.75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</row>
    <row r="599" ht="15.75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</row>
    <row r="600" ht="15.75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</row>
    <row r="601" ht="15.75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71"/>
      <c r="AJ601" s="71"/>
      <c r="AK601" s="71"/>
      <c r="AL601" s="71"/>
      <c r="AM601" s="71"/>
      <c r="AN601" s="71"/>
      <c r="AO601" s="71"/>
      <c r="AP601" s="71"/>
      <c r="AQ601" s="71"/>
      <c r="AR601" s="71"/>
    </row>
    <row r="602" ht="15.75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71"/>
      <c r="AJ602" s="71"/>
      <c r="AK602" s="71"/>
      <c r="AL602" s="71"/>
      <c r="AM602" s="71"/>
      <c r="AN602" s="71"/>
      <c r="AO602" s="71"/>
      <c r="AP602" s="71"/>
      <c r="AQ602" s="71"/>
      <c r="AR602" s="71"/>
    </row>
    <row r="603" ht="15.75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71"/>
      <c r="AJ603" s="71"/>
      <c r="AK603" s="71"/>
      <c r="AL603" s="71"/>
      <c r="AM603" s="71"/>
      <c r="AN603" s="71"/>
      <c r="AO603" s="71"/>
      <c r="AP603" s="71"/>
      <c r="AQ603" s="71"/>
      <c r="AR603" s="71"/>
    </row>
    <row r="604" ht="15.75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</row>
    <row r="605" ht="15.75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71"/>
      <c r="AJ605" s="71"/>
      <c r="AK605" s="71"/>
      <c r="AL605" s="71"/>
      <c r="AM605" s="71"/>
      <c r="AN605" s="71"/>
      <c r="AO605" s="71"/>
      <c r="AP605" s="71"/>
      <c r="AQ605" s="71"/>
      <c r="AR605" s="71"/>
    </row>
    <row r="606" ht="15.75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</row>
    <row r="607" ht="15.75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  <c r="AR607" s="71"/>
    </row>
    <row r="608" ht="15.75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</row>
    <row r="609" ht="15.75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71"/>
      <c r="AJ609" s="71"/>
      <c r="AK609" s="71"/>
      <c r="AL609" s="71"/>
      <c r="AM609" s="71"/>
      <c r="AN609" s="71"/>
      <c r="AO609" s="71"/>
      <c r="AP609" s="71"/>
      <c r="AQ609" s="71"/>
      <c r="AR609" s="71"/>
    </row>
    <row r="610" ht="15.75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71"/>
      <c r="AJ610" s="71"/>
      <c r="AK610" s="71"/>
      <c r="AL610" s="71"/>
      <c r="AM610" s="71"/>
      <c r="AN610" s="71"/>
      <c r="AO610" s="71"/>
      <c r="AP610" s="71"/>
      <c r="AQ610" s="71"/>
      <c r="AR610" s="71"/>
    </row>
    <row r="611" ht="15.75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71"/>
      <c r="AJ611" s="71"/>
      <c r="AK611" s="71"/>
      <c r="AL611" s="71"/>
      <c r="AM611" s="71"/>
      <c r="AN611" s="71"/>
      <c r="AO611" s="71"/>
      <c r="AP611" s="71"/>
      <c r="AQ611" s="71"/>
      <c r="AR611" s="71"/>
    </row>
    <row r="612" ht="15.75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71"/>
      <c r="AJ612" s="71"/>
      <c r="AK612" s="71"/>
      <c r="AL612" s="71"/>
      <c r="AM612" s="71"/>
      <c r="AN612" s="71"/>
      <c r="AO612" s="71"/>
      <c r="AP612" s="71"/>
      <c r="AQ612" s="71"/>
      <c r="AR612" s="71"/>
    </row>
    <row r="613" ht="15.75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71"/>
      <c r="AJ613" s="71"/>
      <c r="AK613" s="71"/>
      <c r="AL613" s="71"/>
      <c r="AM613" s="71"/>
      <c r="AN613" s="71"/>
      <c r="AO613" s="71"/>
      <c r="AP613" s="71"/>
      <c r="AQ613" s="71"/>
      <c r="AR613" s="71"/>
    </row>
    <row r="614" ht="15.75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71"/>
      <c r="AJ614" s="71"/>
      <c r="AK614" s="71"/>
      <c r="AL614" s="71"/>
      <c r="AM614" s="71"/>
      <c r="AN614" s="71"/>
      <c r="AO614" s="71"/>
      <c r="AP614" s="71"/>
      <c r="AQ614" s="71"/>
      <c r="AR614" s="71"/>
    </row>
    <row r="615" ht="15.75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71"/>
      <c r="AJ615" s="71"/>
      <c r="AK615" s="71"/>
      <c r="AL615" s="71"/>
      <c r="AM615" s="71"/>
      <c r="AN615" s="71"/>
      <c r="AO615" s="71"/>
      <c r="AP615" s="71"/>
      <c r="AQ615" s="71"/>
      <c r="AR615" s="71"/>
    </row>
    <row r="616" ht="15.75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71"/>
      <c r="AJ616" s="71"/>
      <c r="AK616" s="71"/>
      <c r="AL616" s="71"/>
      <c r="AM616" s="71"/>
      <c r="AN616" s="71"/>
      <c r="AO616" s="71"/>
      <c r="AP616" s="71"/>
      <c r="AQ616" s="71"/>
      <c r="AR616" s="71"/>
    </row>
    <row r="617" ht="15.75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71"/>
      <c r="AJ617" s="71"/>
      <c r="AK617" s="71"/>
      <c r="AL617" s="71"/>
      <c r="AM617" s="71"/>
      <c r="AN617" s="71"/>
      <c r="AO617" s="71"/>
      <c r="AP617" s="71"/>
      <c r="AQ617" s="71"/>
      <c r="AR617" s="71"/>
    </row>
    <row r="618" ht="15.75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71"/>
      <c r="AJ618" s="71"/>
      <c r="AK618" s="71"/>
      <c r="AL618" s="71"/>
      <c r="AM618" s="71"/>
      <c r="AN618" s="71"/>
      <c r="AO618" s="71"/>
      <c r="AP618" s="71"/>
      <c r="AQ618" s="71"/>
      <c r="AR618" s="71"/>
    </row>
    <row r="619" ht="15.75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71"/>
      <c r="AJ619" s="71"/>
      <c r="AK619" s="71"/>
      <c r="AL619" s="71"/>
      <c r="AM619" s="71"/>
      <c r="AN619" s="71"/>
      <c r="AO619" s="71"/>
      <c r="AP619" s="71"/>
      <c r="AQ619" s="71"/>
      <c r="AR619" s="71"/>
    </row>
    <row r="620" ht="15.75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71"/>
      <c r="AJ620" s="71"/>
      <c r="AK620" s="71"/>
      <c r="AL620" s="71"/>
      <c r="AM620" s="71"/>
      <c r="AN620" s="71"/>
      <c r="AO620" s="71"/>
      <c r="AP620" s="71"/>
      <c r="AQ620" s="71"/>
      <c r="AR620" s="71"/>
    </row>
    <row r="621" ht="15.75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71"/>
      <c r="AJ621" s="71"/>
      <c r="AK621" s="71"/>
      <c r="AL621" s="71"/>
      <c r="AM621" s="71"/>
      <c r="AN621" s="71"/>
      <c r="AO621" s="71"/>
      <c r="AP621" s="71"/>
      <c r="AQ621" s="71"/>
      <c r="AR621" s="71"/>
    </row>
    <row r="622" ht="15.75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71"/>
      <c r="AJ622" s="71"/>
      <c r="AK622" s="71"/>
      <c r="AL622" s="71"/>
      <c r="AM622" s="71"/>
      <c r="AN622" s="71"/>
      <c r="AO622" s="71"/>
      <c r="AP622" s="71"/>
      <c r="AQ622" s="71"/>
      <c r="AR622" s="71"/>
    </row>
    <row r="623" ht="15.75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71"/>
      <c r="AJ623" s="71"/>
      <c r="AK623" s="71"/>
      <c r="AL623" s="71"/>
      <c r="AM623" s="71"/>
      <c r="AN623" s="71"/>
      <c r="AO623" s="71"/>
      <c r="AP623" s="71"/>
      <c r="AQ623" s="71"/>
      <c r="AR623" s="71"/>
    </row>
    <row r="624" ht="15.75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71"/>
      <c r="AJ624" s="71"/>
      <c r="AK624" s="71"/>
      <c r="AL624" s="71"/>
      <c r="AM624" s="71"/>
      <c r="AN624" s="71"/>
      <c r="AO624" s="71"/>
      <c r="AP624" s="71"/>
      <c r="AQ624" s="71"/>
      <c r="AR624" s="71"/>
    </row>
    <row r="625" ht="15.75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71"/>
      <c r="AJ625" s="71"/>
      <c r="AK625" s="71"/>
      <c r="AL625" s="71"/>
      <c r="AM625" s="71"/>
      <c r="AN625" s="71"/>
      <c r="AO625" s="71"/>
      <c r="AP625" s="71"/>
      <c r="AQ625" s="71"/>
      <c r="AR625" s="71"/>
    </row>
    <row r="626" ht="15.75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71"/>
      <c r="AJ626" s="71"/>
      <c r="AK626" s="71"/>
      <c r="AL626" s="71"/>
      <c r="AM626" s="71"/>
      <c r="AN626" s="71"/>
      <c r="AO626" s="71"/>
      <c r="AP626" s="71"/>
      <c r="AQ626" s="71"/>
      <c r="AR626" s="71"/>
    </row>
    <row r="627" ht="15.75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71"/>
      <c r="AJ627" s="71"/>
      <c r="AK627" s="71"/>
      <c r="AL627" s="71"/>
      <c r="AM627" s="71"/>
      <c r="AN627" s="71"/>
      <c r="AO627" s="71"/>
      <c r="AP627" s="71"/>
      <c r="AQ627" s="71"/>
      <c r="AR627" s="71"/>
    </row>
    <row r="628" ht="15.75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71"/>
      <c r="AJ628" s="71"/>
      <c r="AK628" s="71"/>
      <c r="AL628" s="71"/>
      <c r="AM628" s="71"/>
      <c r="AN628" s="71"/>
      <c r="AO628" s="71"/>
      <c r="AP628" s="71"/>
      <c r="AQ628" s="71"/>
      <c r="AR628" s="71"/>
    </row>
    <row r="629" ht="15.75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  <c r="AL629" s="71"/>
      <c r="AM629" s="71"/>
      <c r="AN629" s="71"/>
      <c r="AO629" s="71"/>
      <c r="AP629" s="71"/>
      <c r="AQ629" s="71"/>
      <c r="AR629" s="71"/>
    </row>
    <row r="630" ht="15.75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  <c r="AP630" s="71"/>
      <c r="AQ630" s="71"/>
      <c r="AR630" s="71"/>
    </row>
    <row r="631" ht="15.75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71"/>
      <c r="AJ631" s="71"/>
      <c r="AK631" s="71"/>
      <c r="AL631" s="71"/>
      <c r="AM631" s="71"/>
      <c r="AN631" s="71"/>
      <c r="AO631" s="71"/>
      <c r="AP631" s="71"/>
      <c r="AQ631" s="71"/>
      <c r="AR631" s="71"/>
    </row>
    <row r="632" ht="15.75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71"/>
      <c r="AJ632" s="71"/>
      <c r="AK632" s="71"/>
      <c r="AL632" s="71"/>
      <c r="AM632" s="71"/>
      <c r="AN632" s="71"/>
      <c r="AO632" s="71"/>
      <c r="AP632" s="71"/>
      <c r="AQ632" s="71"/>
      <c r="AR632" s="71"/>
    </row>
    <row r="633" ht="15.75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71"/>
      <c r="AJ633" s="71"/>
      <c r="AK633" s="71"/>
      <c r="AL633" s="71"/>
      <c r="AM633" s="71"/>
      <c r="AN633" s="71"/>
      <c r="AO633" s="71"/>
      <c r="AP633" s="71"/>
      <c r="AQ633" s="71"/>
      <c r="AR633" s="71"/>
    </row>
    <row r="634" ht="15.75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71"/>
      <c r="AJ634" s="71"/>
      <c r="AK634" s="71"/>
      <c r="AL634" s="71"/>
      <c r="AM634" s="71"/>
      <c r="AN634" s="71"/>
      <c r="AO634" s="71"/>
      <c r="AP634" s="71"/>
      <c r="AQ634" s="71"/>
      <c r="AR634" s="71"/>
    </row>
    <row r="635" ht="15.75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71"/>
      <c r="AJ635" s="71"/>
      <c r="AK635" s="71"/>
      <c r="AL635" s="71"/>
      <c r="AM635" s="71"/>
      <c r="AN635" s="71"/>
      <c r="AO635" s="71"/>
      <c r="AP635" s="71"/>
      <c r="AQ635" s="71"/>
      <c r="AR635" s="71"/>
    </row>
    <row r="636" ht="15.75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71"/>
      <c r="AJ636" s="71"/>
      <c r="AK636" s="71"/>
      <c r="AL636" s="71"/>
      <c r="AM636" s="71"/>
      <c r="AN636" s="71"/>
      <c r="AO636" s="71"/>
      <c r="AP636" s="71"/>
      <c r="AQ636" s="71"/>
      <c r="AR636" s="71"/>
    </row>
    <row r="637" ht="15.75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71"/>
      <c r="AJ637" s="71"/>
      <c r="AK637" s="71"/>
      <c r="AL637" s="71"/>
      <c r="AM637" s="71"/>
      <c r="AN637" s="71"/>
      <c r="AO637" s="71"/>
      <c r="AP637" s="71"/>
      <c r="AQ637" s="71"/>
      <c r="AR637" s="71"/>
    </row>
    <row r="638" ht="15.75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71"/>
      <c r="AJ638" s="71"/>
      <c r="AK638" s="71"/>
      <c r="AL638" s="71"/>
      <c r="AM638" s="71"/>
      <c r="AN638" s="71"/>
      <c r="AO638" s="71"/>
      <c r="AP638" s="71"/>
      <c r="AQ638" s="71"/>
      <c r="AR638" s="71"/>
    </row>
    <row r="639" ht="15.75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71"/>
      <c r="AJ639" s="71"/>
      <c r="AK639" s="71"/>
      <c r="AL639" s="71"/>
      <c r="AM639" s="71"/>
      <c r="AN639" s="71"/>
      <c r="AO639" s="71"/>
      <c r="AP639" s="71"/>
      <c r="AQ639" s="71"/>
      <c r="AR639" s="71"/>
    </row>
    <row r="640" ht="15.75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71"/>
      <c r="AJ640" s="71"/>
      <c r="AK640" s="71"/>
      <c r="AL640" s="71"/>
      <c r="AM640" s="71"/>
      <c r="AN640" s="71"/>
      <c r="AO640" s="71"/>
      <c r="AP640" s="71"/>
      <c r="AQ640" s="71"/>
      <c r="AR640" s="71"/>
    </row>
    <row r="641" ht="15.75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71"/>
      <c r="AJ641" s="71"/>
      <c r="AK641" s="71"/>
      <c r="AL641" s="71"/>
      <c r="AM641" s="71"/>
      <c r="AN641" s="71"/>
      <c r="AO641" s="71"/>
      <c r="AP641" s="71"/>
      <c r="AQ641" s="71"/>
      <c r="AR641" s="71"/>
    </row>
    <row r="642" ht="15.75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71"/>
      <c r="AJ642" s="71"/>
      <c r="AK642" s="71"/>
      <c r="AL642" s="71"/>
      <c r="AM642" s="71"/>
      <c r="AN642" s="71"/>
      <c r="AO642" s="71"/>
      <c r="AP642" s="71"/>
      <c r="AQ642" s="71"/>
      <c r="AR642" s="71"/>
    </row>
    <row r="643" ht="15.75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  <c r="AP643" s="71"/>
      <c r="AQ643" s="71"/>
      <c r="AR643" s="71"/>
    </row>
    <row r="644" ht="15.75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  <c r="AP644" s="71"/>
      <c r="AQ644" s="71"/>
      <c r="AR644" s="71"/>
    </row>
    <row r="645" ht="15.75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71"/>
      <c r="AJ645" s="71"/>
      <c r="AK645" s="71"/>
      <c r="AL645" s="71"/>
      <c r="AM645" s="71"/>
      <c r="AN645" s="71"/>
      <c r="AO645" s="71"/>
      <c r="AP645" s="71"/>
      <c r="AQ645" s="71"/>
      <c r="AR645" s="71"/>
    </row>
    <row r="646" ht="15.75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71"/>
      <c r="AJ646" s="71"/>
      <c r="AK646" s="71"/>
      <c r="AL646" s="71"/>
      <c r="AM646" s="71"/>
      <c r="AN646" s="71"/>
      <c r="AO646" s="71"/>
      <c r="AP646" s="71"/>
      <c r="AQ646" s="71"/>
      <c r="AR646" s="71"/>
    </row>
    <row r="647" ht="15.75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71"/>
      <c r="AJ647" s="71"/>
      <c r="AK647" s="71"/>
      <c r="AL647" s="71"/>
      <c r="AM647" s="71"/>
      <c r="AN647" s="71"/>
      <c r="AO647" s="71"/>
      <c r="AP647" s="71"/>
      <c r="AQ647" s="71"/>
      <c r="AR647" s="71"/>
    </row>
    <row r="648" ht="15.75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71"/>
      <c r="AJ648" s="71"/>
      <c r="AK648" s="71"/>
      <c r="AL648" s="71"/>
      <c r="AM648" s="71"/>
      <c r="AN648" s="71"/>
      <c r="AO648" s="71"/>
      <c r="AP648" s="71"/>
      <c r="AQ648" s="71"/>
      <c r="AR648" s="71"/>
    </row>
    <row r="649" ht="15.75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1"/>
      <c r="AL649" s="71"/>
      <c r="AM649" s="71"/>
      <c r="AN649" s="71"/>
      <c r="AO649" s="71"/>
      <c r="AP649" s="71"/>
      <c r="AQ649" s="71"/>
      <c r="AR649" s="71"/>
    </row>
    <row r="650" ht="15.75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71"/>
      <c r="AJ650" s="71"/>
      <c r="AK650" s="71"/>
      <c r="AL650" s="71"/>
      <c r="AM650" s="71"/>
      <c r="AN650" s="71"/>
      <c r="AO650" s="71"/>
      <c r="AP650" s="71"/>
      <c r="AQ650" s="71"/>
      <c r="AR650" s="71"/>
    </row>
    <row r="651" ht="15.75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71"/>
      <c r="AJ651" s="71"/>
      <c r="AK651" s="71"/>
      <c r="AL651" s="71"/>
      <c r="AM651" s="71"/>
      <c r="AN651" s="71"/>
      <c r="AO651" s="71"/>
      <c r="AP651" s="71"/>
      <c r="AQ651" s="71"/>
      <c r="AR651" s="71"/>
    </row>
    <row r="652" ht="15.75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71"/>
      <c r="AJ652" s="71"/>
      <c r="AK652" s="71"/>
      <c r="AL652" s="71"/>
      <c r="AM652" s="71"/>
      <c r="AN652" s="71"/>
      <c r="AO652" s="71"/>
      <c r="AP652" s="71"/>
      <c r="AQ652" s="71"/>
      <c r="AR652" s="71"/>
    </row>
    <row r="653" ht="15.75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71"/>
      <c r="AJ653" s="71"/>
      <c r="AK653" s="71"/>
      <c r="AL653" s="71"/>
      <c r="AM653" s="71"/>
      <c r="AN653" s="71"/>
      <c r="AO653" s="71"/>
      <c r="AP653" s="71"/>
      <c r="AQ653" s="71"/>
      <c r="AR653" s="71"/>
    </row>
    <row r="654" ht="15.75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71"/>
      <c r="AJ654" s="71"/>
      <c r="AK654" s="71"/>
      <c r="AL654" s="71"/>
      <c r="AM654" s="71"/>
      <c r="AN654" s="71"/>
      <c r="AO654" s="71"/>
      <c r="AP654" s="71"/>
      <c r="AQ654" s="71"/>
      <c r="AR654" s="71"/>
    </row>
    <row r="655" ht="15.75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71"/>
      <c r="AJ655" s="71"/>
      <c r="AK655" s="71"/>
      <c r="AL655" s="71"/>
      <c r="AM655" s="71"/>
      <c r="AN655" s="71"/>
      <c r="AO655" s="71"/>
      <c r="AP655" s="71"/>
      <c r="AQ655" s="71"/>
      <c r="AR655" s="71"/>
    </row>
    <row r="656" ht="15.75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71"/>
      <c r="AJ656" s="71"/>
      <c r="AK656" s="71"/>
      <c r="AL656" s="71"/>
      <c r="AM656" s="71"/>
      <c r="AN656" s="71"/>
      <c r="AO656" s="71"/>
      <c r="AP656" s="71"/>
      <c r="AQ656" s="71"/>
      <c r="AR656" s="71"/>
    </row>
    <row r="657" ht="15.75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71"/>
      <c r="AJ657" s="71"/>
      <c r="AK657" s="71"/>
      <c r="AL657" s="71"/>
      <c r="AM657" s="71"/>
      <c r="AN657" s="71"/>
      <c r="AO657" s="71"/>
      <c r="AP657" s="71"/>
      <c r="AQ657" s="71"/>
      <c r="AR657" s="71"/>
    </row>
    <row r="658" ht="15.75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71"/>
      <c r="AJ658" s="71"/>
      <c r="AK658" s="71"/>
      <c r="AL658" s="71"/>
      <c r="AM658" s="71"/>
      <c r="AN658" s="71"/>
      <c r="AO658" s="71"/>
      <c r="AP658" s="71"/>
      <c r="AQ658" s="71"/>
      <c r="AR658" s="71"/>
    </row>
    <row r="659" ht="15.75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71"/>
      <c r="AJ659" s="71"/>
      <c r="AK659" s="71"/>
      <c r="AL659" s="71"/>
      <c r="AM659" s="71"/>
      <c r="AN659" s="71"/>
      <c r="AO659" s="71"/>
      <c r="AP659" s="71"/>
      <c r="AQ659" s="71"/>
      <c r="AR659" s="71"/>
    </row>
    <row r="660" ht="15.75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71"/>
      <c r="AJ660" s="71"/>
      <c r="AK660" s="71"/>
      <c r="AL660" s="71"/>
      <c r="AM660" s="71"/>
      <c r="AN660" s="71"/>
      <c r="AO660" s="71"/>
      <c r="AP660" s="71"/>
      <c r="AQ660" s="71"/>
      <c r="AR660" s="71"/>
    </row>
    <row r="661" ht="15.75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71"/>
      <c r="AJ661" s="71"/>
      <c r="AK661" s="71"/>
      <c r="AL661" s="71"/>
      <c r="AM661" s="71"/>
      <c r="AN661" s="71"/>
      <c r="AO661" s="71"/>
      <c r="AP661" s="71"/>
      <c r="AQ661" s="71"/>
      <c r="AR661" s="71"/>
    </row>
    <row r="662" ht="15.75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  <c r="AP662" s="71"/>
      <c r="AQ662" s="71"/>
      <c r="AR662" s="71"/>
    </row>
    <row r="663" ht="15.75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  <c r="AP663" s="71"/>
      <c r="AQ663" s="71"/>
      <c r="AR663" s="71"/>
    </row>
    <row r="664" ht="15.75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71"/>
      <c r="AJ664" s="71"/>
      <c r="AK664" s="71"/>
      <c r="AL664" s="71"/>
      <c r="AM664" s="71"/>
      <c r="AN664" s="71"/>
      <c r="AO664" s="71"/>
      <c r="AP664" s="71"/>
      <c r="AQ664" s="71"/>
      <c r="AR664" s="71"/>
    </row>
    <row r="665" ht="15.75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71"/>
      <c r="AJ665" s="71"/>
      <c r="AK665" s="71"/>
      <c r="AL665" s="71"/>
      <c r="AM665" s="71"/>
      <c r="AN665" s="71"/>
      <c r="AO665" s="71"/>
      <c r="AP665" s="71"/>
      <c r="AQ665" s="71"/>
      <c r="AR665" s="71"/>
    </row>
    <row r="666" ht="15.75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71"/>
      <c r="AJ666" s="71"/>
      <c r="AK666" s="71"/>
      <c r="AL666" s="71"/>
      <c r="AM666" s="71"/>
      <c r="AN666" s="71"/>
      <c r="AO666" s="71"/>
      <c r="AP666" s="71"/>
      <c r="AQ666" s="71"/>
      <c r="AR666" s="71"/>
    </row>
    <row r="667" ht="15.75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71"/>
      <c r="AJ667" s="71"/>
      <c r="AK667" s="71"/>
      <c r="AL667" s="71"/>
      <c r="AM667" s="71"/>
      <c r="AN667" s="71"/>
      <c r="AO667" s="71"/>
      <c r="AP667" s="71"/>
      <c r="AQ667" s="71"/>
      <c r="AR667" s="71"/>
    </row>
    <row r="668" ht="15.75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71"/>
      <c r="AJ668" s="71"/>
      <c r="AK668" s="71"/>
      <c r="AL668" s="71"/>
      <c r="AM668" s="71"/>
      <c r="AN668" s="71"/>
      <c r="AO668" s="71"/>
      <c r="AP668" s="71"/>
      <c r="AQ668" s="71"/>
      <c r="AR668" s="71"/>
    </row>
    <row r="669" ht="15.75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71"/>
      <c r="AJ669" s="71"/>
      <c r="AK669" s="71"/>
      <c r="AL669" s="71"/>
      <c r="AM669" s="71"/>
      <c r="AN669" s="71"/>
      <c r="AO669" s="71"/>
      <c r="AP669" s="71"/>
      <c r="AQ669" s="71"/>
      <c r="AR669" s="71"/>
    </row>
    <row r="670" ht="15.75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71"/>
      <c r="AJ670" s="71"/>
      <c r="AK670" s="71"/>
      <c r="AL670" s="71"/>
      <c r="AM670" s="71"/>
      <c r="AN670" s="71"/>
      <c r="AO670" s="71"/>
      <c r="AP670" s="71"/>
      <c r="AQ670" s="71"/>
      <c r="AR670" s="71"/>
    </row>
    <row r="671" ht="15.75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  <c r="AR671" s="71"/>
    </row>
    <row r="672" ht="15.75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  <c r="AR672" s="71"/>
    </row>
    <row r="673" ht="15.75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71"/>
      <c r="AJ673" s="71"/>
      <c r="AK673" s="71"/>
      <c r="AL673" s="71"/>
      <c r="AM673" s="71"/>
      <c r="AN673" s="71"/>
      <c r="AO673" s="71"/>
      <c r="AP673" s="71"/>
      <c r="AQ673" s="71"/>
      <c r="AR673" s="71"/>
    </row>
    <row r="674" ht="15.75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71"/>
      <c r="AJ674" s="71"/>
      <c r="AK674" s="71"/>
      <c r="AL674" s="71"/>
      <c r="AM674" s="71"/>
      <c r="AN674" s="71"/>
      <c r="AO674" s="71"/>
      <c r="AP674" s="71"/>
      <c r="AQ674" s="71"/>
      <c r="AR674" s="71"/>
    </row>
    <row r="675" ht="15.75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71"/>
      <c r="AJ675" s="71"/>
      <c r="AK675" s="71"/>
      <c r="AL675" s="71"/>
      <c r="AM675" s="71"/>
      <c r="AN675" s="71"/>
      <c r="AO675" s="71"/>
      <c r="AP675" s="71"/>
      <c r="AQ675" s="71"/>
      <c r="AR675" s="71"/>
    </row>
    <row r="676" ht="15.75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71"/>
      <c r="AJ676" s="71"/>
      <c r="AK676" s="71"/>
      <c r="AL676" s="71"/>
      <c r="AM676" s="71"/>
      <c r="AN676" s="71"/>
      <c r="AO676" s="71"/>
      <c r="AP676" s="71"/>
      <c r="AQ676" s="71"/>
      <c r="AR676" s="71"/>
    </row>
    <row r="677" ht="15.75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  <c r="AR677" s="71"/>
    </row>
    <row r="678" ht="15.75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</row>
    <row r="679" ht="15.75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71"/>
      <c r="AJ679" s="71"/>
      <c r="AK679" s="71"/>
      <c r="AL679" s="71"/>
      <c r="AM679" s="71"/>
      <c r="AN679" s="71"/>
      <c r="AO679" s="71"/>
      <c r="AP679" s="71"/>
      <c r="AQ679" s="71"/>
      <c r="AR679" s="71"/>
    </row>
    <row r="680" ht="15.75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</row>
    <row r="681" ht="15.75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</row>
    <row r="682" ht="15.75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71"/>
      <c r="AJ682" s="71"/>
      <c r="AK682" s="71"/>
      <c r="AL682" s="71"/>
      <c r="AM682" s="71"/>
      <c r="AN682" s="71"/>
      <c r="AO682" s="71"/>
      <c r="AP682" s="71"/>
      <c r="AQ682" s="71"/>
      <c r="AR682" s="71"/>
    </row>
    <row r="683" ht="15.75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71"/>
      <c r="AJ683" s="71"/>
      <c r="AK683" s="71"/>
      <c r="AL683" s="71"/>
      <c r="AM683" s="71"/>
      <c r="AN683" s="71"/>
      <c r="AO683" s="71"/>
      <c r="AP683" s="71"/>
      <c r="AQ683" s="71"/>
      <c r="AR683" s="71"/>
    </row>
    <row r="684" ht="15.75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71"/>
      <c r="AJ684" s="71"/>
      <c r="AK684" s="71"/>
      <c r="AL684" s="71"/>
      <c r="AM684" s="71"/>
      <c r="AN684" s="71"/>
      <c r="AO684" s="71"/>
      <c r="AP684" s="71"/>
      <c r="AQ684" s="71"/>
      <c r="AR684" s="71"/>
    </row>
    <row r="685" ht="15.75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71"/>
      <c r="AJ685" s="71"/>
      <c r="AK685" s="71"/>
      <c r="AL685" s="71"/>
      <c r="AM685" s="71"/>
      <c r="AN685" s="71"/>
      <c r="AO685" s="71"/>
      <c r="AP685" s="71"/>
      <c r="AQ685" s="71"/>
      <c r="AR685" s="71"/>
    </row>
    <row r="686" ht="15.75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71"/>
      <c r="AJ686" s="71"/>
      <c r="AK686" s="71"/>
      <c r="AL686" s="71"/>
      <c r="AM686" s="71"/>
      <c r="AN686" s="71"/>
      <c r="AO686" s="71"/>
      <c r="AP686" s="71"/>
      <c r="AQ686" s="71"/>
      <c r="AR686" s="71"/>
    </row>
    <row r="687" ht="15.75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71"/>
      <c r="AK687" s="71"/>
      <c r="AL687" s="71"/>
      <c r="AM687" s="71"/>
      <c r="AN687" s="71"/>
      <c r="AO687" s="71"/>
      <c r="AP687" s="71"/>
      <c r="AQ687" s="71"/>
      <c r="AR687" s="71"/>
    </row>
    <row r="688" ht="15.75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71"/>
      <c r="AJ688" s="71"/>
      <c r="AK688" s="71"/>
      <c r="AL688" s="71"/>
      <c r="AM688" s="71"/>
      <c r="AN688" s="71"/>
      <c r="AO688" s="71"/>
      <c r="AP688" s="71"/>
      <c r="AQ688" s="71"/>
      <c r="AR688" s="71"/>
    </row>
    <row r="689" ht="15.75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  <c r="AR689" s="71"/>
    </row>
    <row r="690" ht="15.75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71"/>
      <c r="AJ690" s="71"/>
      <c r="AK690" s="71"/>
      <c r="AL690" s="71"/>
      <c r="AM690" s="71"/>
      <c r="AN690" s="71"/>
      <c r="AO690" s="71"/>
      <c r="AP690" s="71"/>
      <c r="AQ690" s="71"/>
      <c r="AR690" s="71"/>
    </row>
    <row r="691" ht="15.75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71"/>
      <c r="AJ691" s="71"/>
      <c r="AK691" s="71"/>
      <c r="AL691" s="71"/>
      <c r="AM691" s="71"/>
      <c r="AN691" s="71"/>
      <c r="AO691" s="71"/>
      <c r="AP691" s="71"/>
      <c r="AQ691" s="71"/>
      <c r="AR691" s="71"/>
    </row>
    <row r="692" ht="15.75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71"/>
      <c r="AJ692" s="71"/>
      <c r="AK692" s="71"/>
      <c r="AL692" s="71"/>
      <c r="AM692" s="71"/>
      <c r="AN692" s="71"/>
      <c r="AO692" s="71"/>
      <c r="AP692" s="71"/>
      <c r="AQ692" s="71"/>
      <c r="AR692" s="71"/>
    </row>
    <row r="693" ht="15.75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71"/>
      <c r="AJ693" s="71"/>
      <c r="AK693" s="71"/>
      <c r="AL693" s="71"/>
      <c r="AM693" s="71"/>
      <c r="AN693" s="71"/>
      <c r="AO693" s="71"/>
      <c r="AP693" s="71"/>
      <c r="AQ693" s="71"/>
      <c r="AR693" s="71"/>
    </row>
    <row r="694" ht="15.75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71"/>
      <c r="AJ694" s="71"/>
      <c r="AK694" s="71"/>
      <c r="AL694" s="71"/>
      <c r="AM694" s="71"/>
      <c r="AN694" s="71"/>
      <c r="AO694" s="71"/>
      <c r="AP694" s="71"/>
      <c r="AQ694" s="71"/>
      <c r="AR694" s="71"/>
    </row>
    <row r="695" ht="15.75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71"/>
      <c r="AJ695" s="71"/>
      <c r="AK695" s="71"/>
      <c r="AL695" s="71"/>
      <c r="AM695" s="71"/>
      <c r="AN695" s="71"/>
      <c r="AO695" s="71"/>
      <c r="AP695" s="71"/>
      <c r="AQ695" s="71"/>
      <c r="AR695" s="71"/>
    </row>
    <row r="696" ht="15.75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71"/>
      <c r="AJ696" s="71"/>
      <c r="AK696" s="71"/>
      <c r="AL696" s="71"/>
      <c r="AM696" s="71"/>
      <c r="AN696" s="71"/>
      <c r="AO696" s="71"/>
      <c r="AP696" s="71"/>
      <c r="AQ696" s="71"/>
      <c r="AR696" s="71"/>
    </row>
    <row r="697" ht="15.75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71"/>
      <c r="AJ697" s="71"/>
      <c r="AK697" s="71"/>
      <c r="AL697" s="71"/>
      <c r="AM697" s="71"/>
      <c r="AN697" s="71"/>
      <c r="AO697" s="71"/>
      <c r="AP697" s="71"/>
      <c r="AQ697" s="71"/>
      <c r="AR697" s="71"/>
    </row>
    <row r="698" ht="15.75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71"/>
      <c r="AJ698" s="71"/>
      <c r="AK698" s="71"/>
      <c r="AL698" s="71"/>
      <c r="AM698" s="71"/>
      <c r="AN698" s="71"/>
      <c r="AO698" s="71"/>
      <c r="AP698" s="71"/>
      <c r="AQ698" s="71"/>
      <c r="AR698" s="71"/>
    </row>
    <row r="699" ht="15.75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71"/>
      <c r="AJ699" s="71"/>
      <c r="AK699" s="71"/>
      <c r="AL699" s="71"/>
      <c r="AM699" s="71"/>
      <c r="AN699" s="71"/>
      <c r="AO699" s="71"/>
      <c r="AP699" s="71"/>
      <c r="AQ699" s="71"/>
      <c r="AR699" s="71"/>
    </row>
    <row r="700" ht="15.75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71"/>
      <c r="AJ700" s="71"/>
      <c r="AK700" s="71"/>
      <c r="AL700" s="71"/>
      <c r="AM700" s="71"/>
      <c r="AN700" s="71"/>
      <c r="AO700" s="71"/>
      <c r="AP700" s="71"/>
      <c r="AQ700" s="71"/>
      <c r="AR700" s="71"/>
    </row>
    <row r="701" ht="15.75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71"/>
      <c r="AJ701" s="71"/>
      <c r="AK701" s="71"/>
      <c r="AL701" s="71"/>
      <c r="AM701" s="71"/>
      <c r="AN701" s="71"/>
      <c r="AO701" s="71"/>
      <c r="AP701" s="71"/>
      <c r="AQ701" s="71"/>
      <c r="AR701" s="71"/>
    </row>
    <row r="702" ht="15.75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71"/>
      <c r="AJ702" s="71"/>
      <c r="AK702" s="71"/>
      <c r="AL702" s="71"/>
      <c r="AM702" s="71"/>
      <c r="AN702" s="71"/>
      <c r="AO702" s="71"/>
      <c r="AP702" s="71"/>
      <c r="AQ702" s="71"/>
      <c r="AR702" s="71"/>
    </row>
    <row r="703" ht="15.75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71"/>
      <c r="AJ703" s="71"/>
      <c r="AK703" s="71"/>
      <c r="AL703" s="71"/>
      <c r="AM703" s="71"/>
      <c r="AN703" s="71"/>
      <c r="AO703" s="71"/>
      <c r="AP703" s="71"/>
      <c r="AQ703" s="71"/>
      <c r="AR703" s="71"/>
    </row>
    <row r="704" ht="15.75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71"/>
      <c r="AJ704" s="71"/>
      <c r="AK704" s="71"/>
      <c r="AL704" s="71"/>
      <c r="AM704" s="71"/>
      <c r="AN704" s="71"/>
      <c r="AO704" s="71"/>
      <c r="AP704" s="71"/>
      <c r="AQ704" s="71"/>
      <c r="AR704" s="71"/>
    </row>
    <row r="705" ht="15.75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71"/>
      <c r="AJ705" s="71"/>
      <c r="AK705" s="71"/>
      <c r="AL705" s="71"/>
      <c r="AM705" s="71"/>
      <c r="AN705" s="71"/>
      <c r="AO705" s="71"/>
      <c r="AP705" s="71"/>
      <c r="AQ705" s="71"/>
      <c r="AR705" s="71"/>
    </row>
    <row r="706" ht="15.75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71"/>
      <c r="AJ706" s="71"/>
      <c r="AK706" s="71"/>
      <c r="AL706" s="71"/>
      <c r="AM706" s="71"/>
      <c r="AN706" s="71"/>
      <c r="AO706" s="71"/>
      <c r="AP706" s="71"/>
      <c r="AQ706" s="71"/>
      <c r="AR706" s="71"/>
    </row>
    <row r="707" ht="15.75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71"/>
      <c r="AJ707" s="71"/>
      <c r="AK707" s="71"/>
      <c r="AL707" s="71"/>
      <c r="AM707" s="71"/>
      <c r="AN707" s="71"/>
      <c r="AO707" s="71"/>
      <c r="AP707" s="71"/>
      <c r="AQ707" s="71"/>
      <c r="AR707" s="71"/>
    </row>
    <row r="708" ht="15.75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71"/>
      <c r="AJ708" s="71"/>
      <c r="AK708" s="71"/>
      <c r="AL708" s="71"/>
      <c r="AM708" s="71"/>
      <c r="AN708" s="71"/>
      <c r="AO708" s="71"/>
      <c r="AP708" s="71"/>
      <c r="AQ708" s="71"/>
      <c r="AR708" s="71"/>
    </row>
    <row r="709" ht="15.75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71"/>
      <c r="AJ709" s="71"/>
      <c r="AK709" s="71"/>
      <c r="AL709" s="71"/>
      <c r="AM709" s="71"/>
      <c r="AN709" s="71"/>
      <c r="AO709" s="71"/>
      <c r="AP709" s="71"/>
      <c r="AQ709" s="71"/>
      <c r="AR709" s="71"/>
    </row>
    <row r="710" ht="15.75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71"/>
      <c r="AJ710" s="71"/>
      <c r="AK710" s="71"/>
      <c r="AL710" s="71"/>
      <c r="AM710" s="71"/>
      <c r="AN710" s="71"/>
      <c r="AO710" s="71"/>
      <c r="AP710" s="71"/>
      <c r="AQ710" s="71"/>
      <c r="AR710" s="71"/>
    </row>
    <row r="711" ht="15.75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71"/>
      <c r="AJ711" s="71"/>
      <c r="AK711" s="71"/>
      <c r="AL711" s="71"/>
      <c r="AM711" s="71"/>
      <c r="AN711" s="71"/>
      <c r="AO711" s="71"/>
      <c r="AP711" s="71"/>
      <c r="AQ711" s="71"/>
      <c r="AR711" s="71"/>
    </row>
    <row r="712" ht="15.75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71"/>
      <c r="AJ712" s="71"/>
      <c r="AK712" s="71"/>
      <c r="AL712" s="71"/>
      <c r="AM712" s="71"/>
      <c r="AN712" s="71"/>
      <c r="AO712" s="71"/>
      <c r="AP712" s="71"/>
      <c r="AQ712" s="71"/>
      <c r="AR712" s="71"/>
    </row>
    <row r="713" ht="15.75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71"/>
      <c r="AJ713" s="71"/>
      <c r="AK713" s="71"/>
      <c r="AL713" s="71"/>
      <c r="AM713" s="71"/>
      <c r="AN713" s="71"/>
      <c r="AO713" s="71"/>
      <c r="AP713" s="71"/>
      <c r="AQ713" s="71"/>
      <c r="AR713" s="71"/>
    </row>
    <row r="714" ht="15.75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71"/>
      <c r="AJ714" s="71"/>
      <c r="AK714" s="71"/>
      <c r="AL714" s="71"/>
      <c r="AM714" s="71"/>
      <c r="AN714" s="71"/>
      <c r="AO714" s="71"/>
      <c r="AP714" s="71"/>
      <c r="AQ714" s="71"/>
      <c r="AR714" s="71"/>
    </row>
    <row r="715" ht="15.75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71"/>
      <c r="AJ715" s="71"/>
      <c r="AK715" s="71"/>
      <c r="AL715" s="71"/>
      <c r="AM715" s="71"/>
      <c r="AN715" s="71"/>
      <c r="AO715" s="71"/>
      <c r="AP715" s="71"/>
      <c r="AQ715" s="71"/>
      <c r="AR715" s="71"/>
    </row>
    <row r="716" ht="15.75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71"/>
      <c r="AJ716" s="71"/>
      <c r="AK716" s="71"/>
      <c r="AL716" s="71"/>
      <c r="AM716" s="71"/>
      <c r="AN716" s="71"/>
      <c r="AO716" s="71"/>
      <c r="AP716" s="71"/>
      <c r="AQ716" s="71"/>
      <c r="AR716" s="71"/>
    </row>
    <row r="717" ht="15.75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71"/>
      <c r="AJ717" s="71"/>
      <c r="AK717" s="71"/>
      <c r="AL717" s="71"/>
      <c r="AM717" s="71"/>
      <c r="AN717" s="71"/>
      <c r="AO717" s="71"/>
      <c r="AP717" s="71"/>
      <c r="AQ717" s="71"/>
      <c r="AR717" s="71"/>
    </row>
    <row r="718" ht="15.75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71"/>
      <c r="AJ718" s="71"/>
      <c r="AK718" s="71"/>
      <c r="AL718" s="71"/>
      <c r="AM718" s="71"/>
      <c r="AN718" s="71"/>
      <c r="AO718" s="71"/>
      <c r="AP718" s="71"/>
      <c r="AQ718" s="71"/>
      <c r="AR718" s="71"/>
    </row>
    <row r="719" ht="15.75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71"/>
      <c r="AJ719" s="71"/>
      <c r="AK719" s="71"/>
      <c r="AL719" s="71"/>
      <c r="AM719" s="71"/>
      <c r="AN719" s="71"/>
      <c r="AO719" s="71"/>
      <c r="AP719" s="71"/>
      <c r="AQ719" s="71"/>
      <c r="AR719" s="71"/>
    </row>
    <row r="720" ht="15.75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71"/>
      <c r="AJ720" s="71"/>
      <c r="AK720" s="71"/>
      <c r="AL720" s="71"/>
      <c r="AM720" s="71"/>
      <c r="AN720" s="71"/>
      <c r="AO720" s="71"/>
      <c r="AP720" s="71"/>
      <c r="AQ720" s="71"/>
      <c r="AR720" s="71"/>
    </row>
    <row r="721" ht="15.75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71"/>
      <c r="AJ721" s="71"/>
      <c r="AK721" s="71"/>
      <c r="AL721" s="71"/>
      <c r="AM721" s="71"/>
      <c r="AN721" s="71"/>
      <c r="AO721" s="71"/>
      <c r="AP721" s="71"/>
      <c r="AQ721" s="71"/>
      <c r="AR721" s="71"/>
    </row>
    <row r="722" ht="15.75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71"/>
      <c r="AJ722" s="71"/>
      <c r="AK722" s="71"/>
      <c r="AL722" s="71"/>
      <c r="AM722" s="71"/>
      <c r="AN722" s="71"/>
      <c r="AO722" s="71"/>
      <c r="AP722" s="71"/>
      <c r="AQ722" s="71"/>
      <c r="AR722" s="71"/>
    </row>
    <row r="723" ht="15.75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71"/>
      <c r="AJ723" s="71"/>
      <c r="AK723" s="71"/>
      <c r="AL723" s="71"/>
      <c r="AM723" s="71"/>
      <c r="AN723" s="71"/>
      <c r="AO723" s="71"/>
      <c r="AP723" s="71"/>
      <c r="AQ723" s="71"/>
      <c r="AR723" s="71"/>
    </row>
    <row r="724" ht="15.75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71"/>
      <c r="AJ724" s="71"/>
      <c r="AK724" s="71"/>
      <c r="AL724" s="71"/>
      <c r="AM724" s="71"/>
      <c r="AN724" s="71"/>
      <c r="AO724" s="71"/>
      <c r="AP724" s="71"/>
      <c r="AQ724" s="71"/>
      <c r="AR724" s="71"/>
    </row>
    <row r="725" ht="15.75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71"/>
      <c r="AJ725" s="71"/>
      <c r="AK725" s="71"/>
      <c r="AL725" s="71"/>
      <c r="AM725" s="71"/>
      <c r="AN725" s="71"/>
      <c r="AO725" s="71"/>
      <c r="AP725" s="71"/>
      <c r="AQ725" s="71"/>
      <c r="AR725" s="71"/>
    </row>
    <row r="726" ht="15.75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71"/>
      <c r="AJ726" s="71"/>
      <c r="AK726" s="71"/>
      <c r="AL726" s="71"/>
      <c r="AM726" s="71"/>
      <c r="AN726" s="71"/>
      <c r="AO726" s="71"/>
      <c r="AP726" s="71"/>
      <c r="AQ726" s="71"/>
      <c r="AR726" s="71"/>
    </row>
    <row r="727" ht="15.75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71"/>
      <c r="AJ727" s="71"/>
      <c r="AK727" s="71"/>
      <c r="AL727" s="71"/>
      <c r="AM727" s="71"/>
      <c r="AN727" s="71"/>
      <c r="AO727" s="71"/>
      <c r="AP727" s="71"/>
      <c r="AQ727" s="71"/>
      <c r="AR727" s="71"/>
    </row>
    <row r="728" ht="15.75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71"/>
      <c r="AJ728" s="71"/>
      <c r="AK728" s="71"/>
      <c r="AL728" s="71"/>
      <c r="AM728" s="71"/>
      <c r="AN728" s="71"/>
      <c r="AO728" s="71"/>
      <c r="AP728" s="71"/>
      <c r="AQ728" s="71"/>
      <c r="AR728" s="71"/>
    </row>
    <row r="729" ht="15.75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71"/>
      <c r="AJ729" s="71"/>
      <c r="AK729" s="71"/>
      <c r="AL729" s="71"/>
      <c r="AM729" s="71"/>
      <c r="AN729" s="71"/>
      <c r="AO729" s="71"/>
      <c r="AP729" s="71"/>
      <c r="AQ729" s="71"/>
      <c r="AR729" s="71"/>
    </row>
    <row r="730" ht="15.75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71"/>
      <c r="AJ730" s="71"/>
      <c r="AK730" s="71"/>
      <c r="AL730" s="71"/>
      <c r="AM730" s="71"/>
      <c r="AN730" s="71"/>
      <c r="AO730" s="71"/>
      <c r="AP730" s="71"/>
      <c r="AQ730" s="71"/>
      <c r="AR730" s="71"/>
    </row>
    <row r="731" ht="15.75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71"/>
      <c r="AJ731" s="71"/>
      <c r="AK731" s="71"/>
      <c r="AL731" s="71"/>
      <c r="AM731" s="71"/>
      <c r="AN731" s="71"/>
      <c r="AO731" s="71"/>
      <c r="AP731" s="71"/>
      <c r="AQ731" s="71"/>
      <c r="AR731" s="71"/>
    </row>
    <row r="732" ht="15.75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71"/>
      <c r="AJ732" s="71"/>
      <c r="AK732" s="71"/>
      <c r="AL732" s="71"/>
      <c r="AM732" s="71"/>
      <c r="AN732" s="71"/>
      <c r="AO732" s="71"/>
      <c r="AP732" s="71"/>
      <c r="AQ732" s="71"/>
      <c r="AR732" s="71"/>
    </row>
    <row r="733" ht="15.75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71"/>
      <c r="AJ733" s="71"/>
      <c r="AK733" s="71"/>
      <c r="AL733" s="71"/>
      <c r="AM733" s="71"/>
      <c r="AN733" s="71"/>
      <c r="AO733" s="71"/>
      <c r="AP733" s="71"/>
      <c r="AQ733" s="71"/>
      <c r="AR733" s="71"/>
    </row>
    <row r="734" ht="15.75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71"/>
      <c r="AJ734" s="71"/>
      <c r="AK734" s="71"/>
      <c r="AL734" s="71"/>
      <c r="AM734" s="71"/>
      <c r="AN734" s="71"/>
      <c r="AO734" s="71"/>
      <c r="AP734" s="71"/>
      <c r="AQ734" s="71"/>
      <c r="AR734" s="71"/>
    </row>
    <row r="735" ht="15.75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71"/>
      <c r="AJ735" s="71"/>
      <c r="AK735" s="71"/>
      <c r="AL735" s="71"/>
      <c r="AM735" s="71"/>
      <c r="AN735" s="71"/>
      <c r="AO735" s="71"/>
      <c r="AP735" s="71"/>
      <c r="AQ735" s="71"/>
      <c r="AR735" s="71"/>
    </row>
    <row r="736" ht="15.75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71"/>
      <c r="AJ736" s="71"/>
      <c r="AK736" s="71"/>
      <c r="AL736" s="71"/>
      <c r="AM736" s="71"/>
      <c r="AN736" s="71"/>
      <c r="AO736" s="71"/>
      <c r="AP736" s="71"/>
      <c r="AQ736" s="71"/>
      <c r="AR736" s="71"/>
    </row>
    <row r="737" ht="15.75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71"/>
      <c r="AJ737" s="71"/>
      <c r="AK737" s="71"/>
      <c r="AL737" s="71"/>
      <c r="AM737" s="71"/>
      <c r="AN737" s="71"/>
      <c r="AO737" s="71"/>
      <c r="AP737" s="71"/>
      <c r="AQ737" s="71"/>
      <c r="AR737" s="71"/>
    </row>
    <row r="738" ht="15.75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71"/>
      <c r="AJ738" s="71"/>
      <c r="AK738" s="71"/>
      <c r="AL738" s="71"/>
      <c r="AM738" s="71"/>
      <c r="AN738" s="71"/>
      <c r="AO738" s="71"/>
      <c r="AP738" s="71"/>
      <c r="AQ738" s="71"/>
      <c r="AR738" s="71"/>
    </row>
    <row r="739" ht="15.75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71"/>
      <c r="AJ739" s="71"/>
      <c r="AK739" s="71"/>
      <c r="AL739" s="71"/>
      <c r="AM739" s="71"/>
      <c r="AN739" s="71"/>
      <c r="AO739" s="71"/>
      <c r="AP739" s="71"/>
      <c r="AQ739" s="71"/>
      <c r="AR739" s="71"/>
    </row>
    <row r="740" ht="15.75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71"/>
      <c r="AJ740" s="71"/>
      <c r="AK740" s="71"/>
      <c r="AL740" s="71"/>
      <c r="AM740" s="71"/>
      <c r="AN740" s="71"/>
      <c r="AO740" s="71"/>
      <c r="AP740" s="71"/>
      <c r="AQ740" s="71"/>
      <c r="AR740" s="71"/>
    </row>
    <row r="741" ht="15.75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71"/>
      <c r="AJ741" s="71"/>
      <c r="AK741" s="71"/>
      <c r="AL741" s="71"/>
      <c r="AM741" s="71"/>
      <c r="AN741" s="71"/>
      <c r="AO741" s="71"/>
      <c r="AP741" s="71"/>
      <c r="AQ741" s="71"/>
      <c r="AR741" s="71"/>
    </row>
    <row r="742" ht="15.75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71"/>
      <c r="AJ742" s="71"/>
      <c r="AK742" s="71"/>
      <c r="AL742" s="71"/>
      <c r="AM742" s="71"/>
      <c r="AN742" s="71"/>
      <c r="AO742" s="71"/>
      <c r="AP742" s="71"/>
      <c r="AQ742" s="71"/>
      <c r="AR742" s="71"/>
    </row>
    <row r="743" ht="15.75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71"/>
      <c r="AJ743" s="71"/>
      <c r="AK743" s="71"/>
      <c r="AL743" s="71"/>
      <c r="AM743" s="71"/>
      <c r="AN743" s="71"/>
      <c r="AO743" s="71"/>
      <c r="AP743" s="71"/>
      <c r="AQ743" s="71"/>
      <c r="AR743" s="71"/>
    </row>
    <row r="744" ht="15.75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71"/>
      <c r="AJ744" s="71"/>
      <c r="AK744" s="71"/>
      <c r="AL744" s="71"/>
      <c r="AM744" s="71"/>
      <c r="AN744" s="71"/>
      <c r="AO744" s="71"/>
      <c r="AP744" s="71"/>
      <c r="AQ744" s="71"/>
      <c r="AR744" s="71"/>
    </row>
    <row r="745" ht="15.75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71"/>
      <c r="AJ745" s="71"/>
      <c r="AK745" s="71"/>
      <c r="AL745" s="71"/>
      <c r="AM745" s="71"/>
      <c r="AN745" s="71"/>
      <c r="AO745" s="71"/>
      <c r="AP745" s="71"/>
      <c r="AQ745" s="71"/>
      <c r="AR745" s="71"/>
    </row>
    <row r="746" ht="15.75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71"/>
      <c r="AJ746" s="71"/>
      <c r="AK746" s="71"/>
      <c r="AL746" s="71"/>
      <c r="AM746" s="71"/>
      <c r="AN746" s="71"/>
      <c r="AO746" s="71"/>
      <c r="AP746" s="71"/>
      <c r="AQ746" s="71"/>
      <c r="AR746" s="71"/>
    </row>
    <row r="747" ht="15.75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71"/>
      <c r="AJ747" s="71"/>
      <c r="AK747" s="71"/>
      <c r="AL747" s="71"/>
      <c r="AM747" s="71"/>
      <c r="AN747" s="71"/>
      <c r="AO747" s="71"/>
      <c r="AP747" s="71"/>
      <c r="AQ747" s="71"/>
      <c r="AR747" s="71"/>
    </row>
    <row r="748" ht="15.75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71"/>
      <c r="AJ748" s="71"/>
      <c r="AK748" s="71"/>
      <c r="AL748" s="71"/>
      <c r="AM748" s="71"/>
      <c r="AN748" s="71"/>
      <c r="AO748" s="71"/>
      <c r="AP748" s="71"/>
      <c r="AQ748" s="71"/>
      <c r="AR748" s="71"/>
    </row>
    <row r="749" ht="15.75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71"/>
      <c r="AJ749" s="71"/>
      <c r="AK749" s="71"/>
      <c r="AL749" s="71"/>
      <c r="AM749" s="71"/>
      <c r="AN749" s="71"/>
      <c r="AO749" s="71"/>
      <c r="AP749" s="71"/>
      <c r="AQ749" s="71"/>
      <c r="AR749" s="71"/>
    </row>
    <row r="750" ht="15.75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71"/>
      <c r="AJ750" s="71"/>
      <c r="AK750" s="71"/>
      <c r="AL750" s="71"/>
      <c r="AM750" s="71"/>
      <c r="AN750" s="71"/>
      <c r="AO750" s="71"/>
      <c r="AP750" s="71"/>
      <c r="AQ750" s="71"/>
      <c r="AR750" s="71"/>
    </row>
    <row r="751" ht="15.75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71"/>
      <c r="AJ751" s="71"/>
      <c r="AK751" s="71"/>
      <c r="AL751" s="71"/>
      <c r="AM751" s="71"/>
      <c r="AN751" s="71"/>
      <c r="AO751" s="71"/>
      <c r="AP751" s="71"/>
      <c r="AQ751" s="71"/>
      <c r="AR751" s="71"/>
    </row>
    <row r="752" ht="15.75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71"/>
      <c r="AJ752" s="71"/>
      <c r="AK752" s="71"/>
      <c r="AL752" s="71"/>
      <c r="AM752" s="71"/>
      <c r="AN752" s="71"/>
      <c r="AO752" s="71"/>
      <c r="AP752" s="71"/>
      <c r="AQ752" s="71"/>
      <c r="AR752" s="71"/>
    </row>
    <row r="753" ht="15.75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71"/>
      <c r="AJ753" s="71"/>
      <c r="AK753" s="71"/>
      <c r="AL753" s="71"/>
      <c r="AM753" s="71"/>
      <c r="AN753" s="71"/>
      <c r="AO753" s="71"/>
      <c r="AP753" s="71"/>
      <c r="AQ753" s="71"/>
      <c r="AR753" s="71"/>
    </row>
    <row r="754" ht="15.75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71"/>
      <c r="AJ754" s="71"/>
      <c r="AK754" s="71"/>
      <c r="AL754" s="71"/>
      <c r="AM754" s="71"/>
      <c r="AN754" s="71"/>
      <c r="AO754" s="71"/>
      <c r="AP754" s="71"/>
      <c r="AQ754" s="71"/>
      <c r="AR754" s="71"/>
    </row>
    <row r="755" ht="15.75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71"/>
      <c r="AJ755" s="71"/>
      <c r="AK755" s="71"/>
      <c r="AL755" s="71"/>
      <c r="AM755" s="71"/>
      <c r="AN755" s="71"/>
      <c r="AO755" s="71"/>
      <c r="AP755" s="71"/>
      <c r="AQ755" s="71"/>
      <c r="AR755" s="71"/>
    </row>
    <row r="756" ht="15.75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71"/>
      <c r="AJ756" s="71"/>
      <c r="AK756" s="71"/>
      <c r="AL756" s="71"/>
      <c r="AM756" s="71"/>
      <c r="AN756" s="71"/>
      <c r="AO756" s="71"/>
      <c r="AP756" s="71"/>
      <c r="AQ756" s="71"/>
      <c r="AR756" s="71"/>
    </row>
    <row r="757" ht="15.75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71"/>
      <c r="AJ757" s="71"/>
      <c r="AK757" s="71"/>
      <c r="AL757" s="71"/>
      <c r="AM757" s="71"/>
      <c r="AN757" s="71"/>
      <c r="AO757" s="71"/>
      <c r="AP757" s="71"/>
      <c r="AQ757" s="71"/>
      <c r="AR757" s="71"/>
    </row>
    <row r="758" ht="15.75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71"/>
      <c r="AJ758" s="71"/>
      <c r="AK758" s="71"/>
      <c r="AL758" s="71"/>
      <c r="AM758" s="71"/>
      <c r="AN758" s="71"/>
      <c r="AO758" s="71"/>
      <c r="AP758" s="71"/>
      <c r="AQ758" s="71"/>
      <c r="AR758" s="71"/>
    </row>
    <row r="759" ht="15.75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71"/>
      <c r="AJ759" s="71"/>
      <c r="AK759" s="71"/>
      <c r="AL759" s="71"/>
      <c r="AM759" s="71"/>
      <c r="AN759" s="71"/>
      <c r="AO759" s="71"/>
      <c r="AP759" s="71"/>
      <c r="AQ759" s="71"/>
      <c r="AR759" s="71"/>
    </row>
    <row r="760" ht="15.75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71"/>
      <c r="AJ760" s="71"/>
      <c r="AK760" s="71"/>
      <c r="AL760" s="71"/>
      <c r="AM760" s="71"/>
      <c r="AN760" s="71"/>
      <c r="AO760" s="71"/>
      <c r="AP760" s="71"/>
      <c r="AQ760" s="71"/>
      <c r="AR760" s="71"/>
    </row>
    <row r="761" ht="15.75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71"/>
      <c r="AJ761" s="71"/>
      <c r="AK761" s="71"/>
      <c r="AL761" s="71"/>
      <c r="AM761" s="71"/>
      <c r="AN761" s="71"/>
      <c r="AO761" s="71"/>
      <c r="AP761" s="71"/>
      <c r="AQ761" s="71"/>
      <c r="AR761" s="71"/>
    </row>
    <row r="762" ht="15.75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71"/>
      <c r="AJ762" s="71"/>
      <c r="AK762" s="71"/>
      <c r="AL762" s="71"/>
      <c r="AM762" s="71"/>
      <c r="AN762" s="71"/>
      <c r="AO762" s="71"/>
      <c r="AP762" s="71"/>
      <c r="AQ762" s="71"/>
      <c r="AR762" s="71"/>
    </row>
    <row r="763" ht="15.75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71"/>
      <c r="AJ763" s="71"/>
      <c r="AK763" s="71"/>
      <c r="AL763" s="71"/>
      <c r="AM763" s="71"/>
      <c r="AN763" s="71"/>
      <c r="AO763" s="71"/>
      <c r="AP763" s="71"/>
      <c r="AQ763" s="71"/>
      <c r="AR763" s="71"/>
    </row>
    <row r="764" ht="15.75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71"/>
      <c r="AJ764" s="71"/>
      <c r="AK764" s="71"/>
      <c r="AL764" s="71"/>
      <c r="AM764" s="71"/>
      <c r="AN764" s="71"/>
      <c r="AO764" s="71"/>
      <c r="AP764" s="71"/>
      <c r="AQ764" s="71"/>
      <c r="AR764" s="71"/>
    </row>
    <row r="765" ht="15.75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71"/>
      <c r="AJ765" s="71"/>
      <c r="AK765" s="71"/>
      <c r="AL765" s="71"/>
      <c r="AM765" s="71"/>
      <c r="AN765" s="71"/>
      <c r="AO765" s="71"/>
      <c r="AP765" s="71"/>
      <c r="AQ765" s="71"/>
      <c r="AR765" s="71"/>
    </row>
    <row r="766" ht="15.75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71"/>
      <c r="AJ766" s="71"/>
      <c r="AK766" s="71"/>
      <c r="AL766" s="71"/>
      <c r="AM766" s="71"/>
      <c r="AN766" s="71"/>
      <c r="AO766" s="71"/>
      <c r="AP766" s="71"/>
      <c r="AQ766" s="71"/>
      <c r="AR766" s="71"/>
    </row>
    <row r="767" ht="15.75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71"/>
      <c r="AJ767" s="71"/>
      <c r="AK767" s="71"/>
      <c r="AL767" s="71"/>
      <c r="AM767" s="71"/>
      <c r="AN767" s="71"/>
      <c r="AO767" s="71"/>
      <c r="AP767" s="71"/>
      <c r="AQ767" s="71"/>
      <c r="AR767" s="71"/>
    </row>
    <row r="768" ht="15.75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71"/>
      <c r="AJ768" s="71"/>
      <c r="AK768" s="71"/>
      <c r="AL768" s="71"/>
      <c r="AM768" s="71"/>
      <c r="AN768" s="71"/>
      <c r="AO768" s="71"/>
      <c r="AP768" s="71"/>
      <c r="AQ768" s="71"/>
      <c r="AR768" s="71"/>
    </row>
    <row r="769" ht="15.75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71"/>
      <c r="AJ769" s="71"/>
      <c r="AK769" s="71"/>
      <c r="AL769" s="71"/>
      <c r="AM769" s="71"/>
      <c r="AN769" s="71"/>
      <c r="AO769" s="71"/>
      <c r="AP769" s="71"/>
      <c r="AQ769" s="71"/>
      <c r="AR769" s="71"/>
    </row>
    <row r="770" ht="15.75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71"/>
      <c r="AJ770" s="71"/>
      <c r="AK770" s="71"/>
      <c r="AL770" s="71"/>
      <c r="AM770" s="71"/>
      <c r="AN770" s="71"/>
      <c r="AO770" s="71"/>
      <c r="AP770" s="71"/>
      <c r="AQ770" s="71"/>
      <c r="AR770" s="71"/>
    </row>
    <row r="771" ht="15.75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71"/>
      <c r="AJ771" s="71"/>
      <c r="AK771" s="71"/>
      <c r="AL771" s="71"/>
      <c r="AM771" s="71"/>
      <c r="AN771" s="71"/>
      <c r="AO771" s="71"/>
      <c r="AP771" s="71"/>
      <c r="AQ771" s="71"/>
      <c r="AR771" s="71"/>
    </row>
    <row r="772" ht="15.75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71"/>
      <c r="AJ772" s="71"/>
      <c r="AK772" s="71"/>
      <c r="AL772" s="71"/>
      <c r="AM772" s="71"/>
      <c r="AN772" s="71"/>
      <c r="AO772" s="71"/>
      <c r="AP772" s="71"/>
      <c r="AQ772" s="71"/>
      <c r="AR772" s="71"/>
    </row>
    <row r="773" ht="15.75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71"/>
      <c r="AJ773" s="71"/>
      <c r="AK773" s="71"/>
      <c r="AL773" s="71"/>
      <c r="AM773" s="71"/>
      <c r="AN773" s="71"/>
      <c r="AO773" s="71"/>
      <c r="AP773" s="71"/>
      <c r="AQ773" s="71"/>
      <c r="AR773" s="71"/>
    </row>
    <row r="774" ht="15.75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71"/>
      <c r="AJ774" s="71"/>
      <c r="AK774" s="71"/>
      <c r="AL774" s="71"/>
      <c r="AM774" s="71"/>
      <c r="AN774" s="71"/>
      <c r="AO774" s="71"/>
      <c r="AP774" s="71"/>
      <c r="AQ774" s="71"/>
      <c r="AR774" s="71"/>
    </row>
    <row r="775" ht="15.75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71"/>
      <c r="AJ775" s="71"/>
      <c r="AK775" s="71"/>
      <c r="AL775" s="71"/>
      <c r="AM775" s="71"/>
      <c r="AN775" s="71"/>
      <c r="AO775" s="71"/>
      <c r="AP775" s="71"/>
      <c r="AQ775" s="71"/>
      <c r="AR775" s="71"/>
    </row>
    <row r="776" ht="15.75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71"/>
      <c r="AJ776" s="71"/>
      <c r="AK776" s="71"/>
      <c r="AL776" s="71"/>
      <c r="AM776" s="71"/>
      <c r="AN776" s="71"/>
      <c r="AO776" s="71"/>
      <c r="AP776" s="71"/>
      <c r="AQ776" s="71"/>
      <c r="AR776" s="71"/>
    </row>
    <row r="777" ht="15.75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71"/>
      <c r="AJ777" s="71"/>
      <c r="AK777" s="71"/>
      <c r="AL777" s="71"/>
      <c r="AM777" s="71"/>
      <c r="AN777" s="71"/>
      <c r="AO777" s="71"/>
      <c r="AP777" s="71"/>
      <c r="AQ777" s="71"/>
      <c r="AR777" s="71"/>
    </row>
    <row r="778" ht="15.75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71"/>
      <c r="AJ778" s="71"/>
      <c r="AK778" s="71"/>
      <c r="AL778" s="71"/>
      <c r="AM778" s="71"/>
      <c r="AN778" s="71"/>
      <c r="AO778" s="71"/>
      <c r="AP778" s="71"/>
      <c r="AQ778" s="71"/>
      <c r="AR778" s="71"/>
    </row>
    <row r="779" ht="15.75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71"/>
      <c r="AJ779" s="71"/>
      <c r="AK779" s="71"/>
      <c r="AL779" s="71"/>
      <c r="AM779" s="71"/>
      <c r="AN779" s="71"/>
      <c r="AO779" s="71"/>
      <c r="AP779" s="71"/>
      <c r="AQ779" s="71"/>
      <c r="AR779" s="71"/>
    </row>
    <row r="780" ht="15.75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71"/>
      <c r="AJ780" s="71"/>
      <c r="AK780" s="71"/>
      <c r="AL780" s="71"/>
      <c r="AM780" s="71"/>
      <c r="AN780" s="71"/>
      <c r="AO780" s="71"/>
      <c r="AP780" s="71"/>
      <c r="AQ780" s="71"/>
      <c r="AR780" s="71"/>
    </row>
    <row r="781" ht="15.75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71"/>
      <c r="AJ781" s="71"/>
      <c r="AK781" s="71"/>
      <c r="AL781" s="71"/>
      <c r="AM781" s="71"/>
      <c r="AN781" s="71"/>
      <c r="AO781" s="71"/>
      <c r="AP781" s="71"/>
      <c r="AQ781" s="71"/>
      <c r="AR781" s="71"/>
    </row>
    <row r="782" ht="15.75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71"/>
      <c r="AJ782" s="71"/>
      <c r="AK782" s="71"/>
      <c r="AL782" s="71"/>
      <c r="AM782" s="71"/>
      <c r="AN782" s="71"/>
      <c r="AO782" s="71"/>
      <c r="AP782" s="71"/>
      <c r="AQ782" s="71"/>
      <c r="AR782" s="71"/>
    </row>
    <row r="783" ht="15.75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71"/>
      <c r="AJ783" s="71"/>
      <c r="AK783" s="71"/>
      <c r="AL783" s="71"/>
      <c r="AM783" s="71"/>
      <c r="AN783" s="71"/>
      <c r="AO783" s="71"/>
      <c r="AP783" s="71"/>
      <c r="AQ783" s="71"/>
      <c r="AR783" s="71"/>
    </row>
    <row r="784" ht="15.75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71"/>
      <c r="AJ784" s="71"/>
      <c r="AK784" s="71"/>
      <c r="AL784" s="71"/>
      <c r="AM784" s="71"/>
      <c r="AN784" s="71"/>
      <c r="AO784" s="71"/>
      <c r="AP784" s="71"/>
      <c r="AQ784" s="71"/>
      <c r="AR784" s="71"/>
    </row>
    <row r="785" ht="15.75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71"/>
      <c r="AJ785" s="71"/>
      <c r="AK785" s="71"/>
      <c r="AL785" s="71"/>
      <c r="AM785" s="71"/>
      <c r="AN785" s="71"/>
      <c r="AO785" s="71"/>
      <c r="AP785" s="71"/>
      <c r="AQ785" s="71"/>
      <c r="AR785" s="71"/>
    </row>
    <row r="786" ht="15.75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71"/>
      <c r="AJ786" s="71"/>
      <c r="AK786" s="71"/>
      <c r="AL786" s="71"/>
      <c r="AM786" s="71"/>
      <c r="AN786" s="71"/>
      <c r="AO786" s="71"/>
      <c r="AP786" s="71"/>
      <c r="AQ786" s="71"/>
      <c r="AR786" s="71"/>
    </row>
    <row r="787" ht="15.75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71"/>
      <c r="AJ787" s="71"/>
      <c r="AK787" s="71"/>
      <c r="AL787" s="71"/>
      <c r="AM787" s="71"/>
      <c r="AN787" s="71"/>
      <c r="AO787" s="71"/>
      <c r="AP787" s="71"/>
      <c r="AQ787" s="71"/>
      <c r="AR787" s="71"/>
    </row>
    <row r="788" ht="15.75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71"/>
      <c r="AJ788" s="71"/>
      <c r="AK788" s="71"/>
      <c r="AL788" s="71"/>
      <c r="AM788" s="71"/>
      <c r="AN788" s="71"/>
      <c r="AO788" s="71"/>
      <c r="AP788" s="71"/>
      <c r="AQ788" s="71"/>
      <c r="AR788" s="71"/>
    </row>
    <row r="789" ht="15.75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71"/>
      <c r="AJ789" s="71"/>
      <c r="AK789" s="71"/>
      <c r="AL789" s="71"/>
      <c r="AM789" s="71"/>
      <c r="AN789" s="71"/>
      <c r="AO789" s="71"/>
      <c r="AP789" s="71"/>
      <c r="AQ789" s="71"/>
      <c r="AR789" s="71"/>
    </row>
    <row r="790" ht="15.75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71"/>
      <c r="AJ790" s="71"/>
      <c r="AK790" s="71"/>
      <c r="AL790" s="71"/>
      <c r="AM790" s="71"/>
      <c r="AN790" s="71"/>
      <c r="AO790" s="71"/>
      <c r="AP790" s="71"/>
      <c r="AQ790" s="71"/>
      <c r="AR790" s="71"/>
    </row>
    <row r="791" ht="15.75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71"/>
      <c r="AJ791" s="71"/>
      <c r="AK791" s="71"/>
      <c r="AL791" s="71"/>
      <c r="AM791" s="71"/>
      <c r="AN791" s="71"/>
      <c r="AO791" s="71"/>
      <c r="AP791" s="71"/>
      <c r="AQ791" s="71"/>
      <c r="AR791" s="71"/>
    </row>
    <row r="792" ht="15.75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71"/>
      <c r="AJ792" s="71"/>
      <c r="AK792" s="71"/>
      <c r="AL792" s="71"/>
      <c r="AM792" s="71"/>
      <c r="AN792" s="71"/>
      <c r="AO792" s="71"/>
      <c r="AP792" s="71"/>
      <c r="AQ792" s="71"/>
      <c r="AR792" s="71"/>
    </row>
    <row r="793" ht="15.75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71"/>
      <c r="AJ793" s="71"/>
      <c r="AK793" s="71"/>
      <c r="AL793" s="71"/>
      <c r="AM793" s="71"/>
      <c r="AN793" s="71"/>
      <c r="AO793" s="71"/>
      <c r="AP793" s="71"/>
      <c r="AQ793" s="71"/>
      <c r="AR793" s="71"/>
    </row>
    <row r="794" ht="15.75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71"/>
      <c r="AJ794" s="71"/>
      <c r="AK794" s="71"/>
      <c r="AL794" s="71"/>
      <c r="AM794" s="71"/>
      <c r="AN794" s="71"/>
      <c r="AO794" s="71"/>
      <c r="AP794" s="71"/>
      <c r="AQ794" s="71"/>
      <c r="AR794" s="71"/>
    </row>
    <row r="795" ht="15.75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71"/>
      <c r="AJ795" s="71"/>
      <c r="AK795" s="71"/>
      <c r="AL795" s="71"/>
      <c r="AM795" s="71"/>
      <c r="AN795" s="71"/>
      <c r="AO795" s="71"/>
      <c r="AP795" s="71"/>
      <c r="AQ795" s="71"/>
      <c r="AR795" s="71"/>
    </row>
    <row r="796" ht="15.75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71"/>
      <c r="AJ796" s="71"/>
      <c r="AK796" s="71"/>
      <c r="AL796" s="71"/>
      <c r="AM796" s="71"/>
      <c r="AN796" s="71"/>
      <c r="AO796" s="71"/>
      <c r="AP796" s="71"/>
      <c r="AQ796" s="71"/>
      <c r="AR796" s="71"/>
    </row>
    <row r="797" ht="15.75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71"/>
      <c r="AJ797" s="71"/>
      <c r="AK797" s="71"/>
      <c r="AL797" s="71"/>
      <c r="AM797" s="71"/>
      <c r="AN797" s="71"/>
      <c r="AO797" s="71"/>
      <c r="AP797" s="71"/>
      <c r="AQ797" s="71"/>
      <c r="AR797" s="71"/>
    </row>
    <row r="798" ht="15.75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71"/>
      <c r="AJ798" s="71"/>
      <c r="AK798" s="71"/>
      <c r="AL798" s="71"/>
      <c r="AM798" s="71"/>
      <c r="AN798" s="71"/>
      <c r="AO798" s="71"/>
      <c r="AP798" s="71"/>
      <c r="AQ798" s="71"/>
      <c r="AR798" s="71"/>
    </row>
    <row r="799" ht="15.75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71"/>
      <c r="AJ799" s="71"/>
      <c r="AK799" s="71"/>
      <c r="AL799" s="71"/>
      <c r="AM799" s="71"/>
      <c r="AN799" s="71"/>
      <c r="AO799" s="71"/>
      <c r="AP799" s="71"/>
      <c r="AQ799" s="71"/>
      <c r="AR799" s="71"/>
    </row>
    <row r="800" ht="15.75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71"/>
      <c r="AJ800" s="71"/>
      <c r="AK800" s="71"/>
      <c r="AL800" s="71"/>
      <c r="AM800" s="71"/>
      <c r="AN800" s="71"/>
      <c r="AO800" s="71"/>
      <c r="AP800" s="71"/>
      <c r="AQ800" s="71"/>
      <c r="AR800" s="71"/>
    </row>
    <row r="801" ht="15.75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71"/>
      <c r="AJ801" s="71"/>
      <c r="AK801" s="71"/>
      <c r="AL801" s="71"/>
      <c r="AM801" s="71"/>
      <c r="AN801" s="71"/>
      <c r="AO801" s="71"/>
      <c r="AP801" s="71"/>
      <c r="AQ801" s="71"/>
      <c r="AR801" s="71"/>
    </row>
    <row r="802" ht="15.75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71"/>
      <c r="AJ802" s="71"/>
      <c r="AK802" s="71"/>
      <c r="AL802" s="71"/>
      <c r="AM802" s="71"/>
      <c r="AN802" s="71"/>
      <c r="AO802" s="71"/>
      <c r="AP802" s="71"/>
      <c r="AQ802" s="71"/>
      <c r="AR802" s="71"/>
    </row>
    <row r="803" ht="15.75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71"/>
      <c r="AJ803" s="71"/>
      <c r="AK803" s="71"/>
      <c r="AL803" s="71"/>
      <c r="AM803" s="71"/>
      <c r="AN803" s="71"/>
      <c r="AO803" s="71"/>
      <c r="AP803" s="71"/>
      <c r="AQ803" s="71"/>
      <c r="AR803" s="71"/>
    </row>
    <row r="804" ht="15.75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71"/>
      <c r="AJ804" s="71"/>
      <c r="AK804" s="71"/>
      <c r="AL804" s="71"/>
      <c r="AM804" s="71"/>
      <c r="AN804" s="71"/>
      <c r="AO804" s="71"/>
      <c r="AP804" s="71"/>
      <c r="AQ804" s="71"/>
      <c r="AR804" s="71"/>
    </row>
    <row r="805" ht="15.75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71"/>
      <c r="AJ805" s="71"/>
      <c r="AK805" s="71"/>
      <c r="AL805" s="71"/>
      <c r="AM805" s="71"/>
      <c r="AN805" s="71"/>
      <c r="AO805" s="71"/>
      <c r="AP805" s="71"/>
      <c r="AQ805" s="71"/>
      <c r="AR805" s="71"/>
    </row>
    <row r="806" ht="15.75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71"/>
      <c r="AJ806" s="71"/>
      <c r="AK806" s="71"/>
      <c r="AL806" s="71"/>
      <c r="AM806" s="71"/>
      <c r="AN806" s="71"/>
      <c r="AO806" s="71"/>
      <c r="AP806" s="71"/>
      <c r="AQ806" s="71"/>
      <c r="AR806" s="71"/>
    </row>
    <row r="807" ht="15.75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71"/>
      <c r="AJ807" s="71"/>
      <c r="AK807" s="71"/>
      <c r="AL807" s="71"/>
      <c r="AM807" s="71"/>
      <c r="AN807" s="71"/>
      <c r="AO807" s="71"/>
      <c r="AP807" s="71"/>
      <c r="AQ807" s="71"/>
      <c r="AR807" s="71"/>
    </row>
    <row r="808" ht="15.75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71"/>
      <c r="AJ808" s="71"/>
      <c r="AK808" s="71"/>
      <c r="AL808" s="71"/>
      <c r="AM808" s="71"/>
      <c r="AN808" s="71"/>
      <c r="AO808" s="71"/>
      <c r="AP808" s="71"/>
      <c r="AQ808" s="71"/>
      <c r="AR808" s="71"/>
    </row>
    <row r="809" ht="15.75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71"/>
      <c r="AJ809" s="71"/>
      <c r="AK809" s="71"/>
      <c r="AL809" s="71"/>
      <c r="AM809" s="71"/>
      <c r="AN809" s="71"/>
      <c r="AO809" s="71"/>
      <c r="AP809" s="71"/>
      <c r="AQ809" s="71"/>
      <c r="AR809" s="71"/>
    </row>
    <row r="810" ht="15.75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71"/>
      <c r="AJ810" s="71"/>
      <c r="AK810" s="71"/>
      <c r="AL810" s="71"/>
      <c r="AM810" s="71"/>
      <c r="AN810" s="71"/>
      <c r="AO810" s="71"/>
      <c r="AP810" s="71"/>
      <c r="AQ810" s="71"/>
      <c r="AR810" s="71"/>
    </row>
    <row r="811" ht="15.75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71"/>
      <c r="AJ811" s="71"/>
      <c r="AK811" s="71"/>
      <c r="AL811" s="71"/>
      <c r="AM811" s="71"/>
      <c r="AN811" s="71"/>
      <c r="AO811" s="71"/>
      <c r="AP811" s="71"/>
      <c r="AQ811" s="71"/>
      <c r="AR811" s="71"/>
    </row>
    <row r="812" ht="15.75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71"/>
      <c r="AJ812" s="71"/>
      <c r="AK812" s="71"/>
      <c r="AL812" s="71"/>
      <c r="AM812" s="71"/>
      <c r="AN812" s="71"/>
      <c r="AO812" s="71"/>
      <c r="AP812" s="71"/>
      <c r="AQ812" s="71"/>
      <c r="AR812" s="71"/>
    </row>
    <row r="813" ht="15.75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71"/>
      <c r="AJ813" s="71"/>
      <c r="AK813" s="71"/>
      <c r="AL813" s="71"/>
      <c r="AM813" s="71"/>
      <c r="AN813" s="71"/>
      <c r="AO813" s="71"/>
      <c r="AP813" s="71"/>
      <c r="AQ813" s="71"/>
      <c r="AR813" s="71"/>
    </row>
    <row r="814" ht="15.75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71"/>
      <c r="AJ814" s="71"/>
      <c r="AK814" s="71"/>
      <c r="AL814" s="71"/>
      <c r="AM814" s="71"/>
      <c r="AN814" s="71"/>
      <c r="AO814" s="71"/>
      <c r="AP814" s="71"/>
      <c r="AQ814" s="71"/>
      <c r="AR814" s="71"/>
    </row>
    <row r="815" ht="15.75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71"/>
      <c r="AJ815" s="71"/>
      <c r="AK815" s="71"/>
      <c r="AL815" s="71"/>
      <c r="AM815" s="71"/>
      <c r="AN815" s="71"/>
      <c r="AO815" s="71"/>
      <c r="AP815" s="71"/>
      <c r="AQ815" s="71"/>
      <c r="AR815" s="71"/>
    </row>
    <row r="816" ht="15.75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71"/>
      <c r="AJ816" s="71"/>
      <c r="AK816" s="71"/>
      <c r="AL816" s="71"/>
      <c r="AM816" s="71"/>
      <c r="AN816" s="71"/>
      <c r="AO816" s="71"/>
      <c r="AP816" s="71"/>
      <c r="AQ816" s="71"/>
      <c r="AR816" s="71"/>
    </row>
    <row r="817" ht="15.75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71"/>
      <c r="AJ817" s="71"/>
      <c r="AK817" s="71"/>
      <c r="AL817" s="71"/>
      <c r="AM817" s="71"/>
      <c r="AN817" s="71"/>
      <c r="AO817" s="71"/>
      <c r="AP817" s="71"/>
      <c r="AQ817" s="71"/>
      <c r="AR817" s="71"/>
    </row>
    <row r="818" ht="15.75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71"/>
      <c r="AJ818" s="71"/>
      <c r="AK818" s="71"/>
      <c r="AL818" s="71"/>
      <c r="AM818" s="71"/>
      <c r="AN818" s="71"/>
      <c r="AO818" s="71"/>
      <c r="AP818" s="71"/>
      <c r="AQ818" s="71"/>
      <c r="AR818" s="71"/>
    </row>
    <row r="819" ht="15.75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71"/>
      <c r="AJ819" s="71"/>
      <c r="AK819" s="71"/>
      <c r="AL819" s="71"/>
      <c r="AM819" s="71"/>
      <c r="AN819" s="71"/>
      <c r="AO819" s="71"/>
      <c r="AP819" s="71"/>
      <c r="AQ819" s="71"/>
      <c r="AR819" s="71"/>
    </row>
    <row r="820" ht="15.75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71"/>
      <c r="AJ820" s="71"/>
      <c r="AK820" s="71"/>
      <c r="AL820" s="71"/>
      <c r="AM820" s="71"/>
      <c r="AN820" s="71"/>
      <c r="AO820" s="71"/>
      <c r="AP820" s="71"/>
      <c r="AQ820" s="71"/>
      <c r="AR820" s="71"/>
    </row>
    <row r="821" ht="15.75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71"/>
      <c r="AJ821" s="71"/>
      <c r="AK821" s="71"/>
      <c r="AL821" s="71"/>
      <c r="AM821" s="71"/>
      <c r="AN821" s="71"/>
      <c r="AO821" s="71"/>
      <c r="AP821" s="71"/>
      <c r="AQ821" s="71"/>
      <c r="AR821" s="71"/>
    </row>
    <row r="822" ht="15.75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71"/>
      <c r="AJ822" s="71"/>
      <c r="AK822" s="71"/>
      <c r="AL822" s="71"/>
      <c r="AM822" s="71"/>
      <c r="AN822" s="71"/>
      <c r="AO822" s="71"/>
      <c r="AP822" s="71"/>
      <c r="AQ822" s="71"/>
      <c r="AR822" s="71"/>
    </row>
    <row r="823" ht="15.75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71"/>
      <c r="AJ823" s="71"/>
      <c r="AK823" s="71"/>
      <c r="AL823" s="71"/>
      <c r="AM823" s="71"/>
      <c r="AN823" s="71"/>
      <c r="AO823" s="71"/>
      <c r="AP823" s="71"/>
      <c r="AQ823" s="71"/>
      <c r="AR823" s="71"/>
    </row>
    <row r="824" ht="15.75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71"/>
      <c r="AJ824" s="71"/>
      <c r="AK824" s="71"/>
      <c r="AL824" s="71"/>
      <c r="AM824" s="71"/>
      <c r="AN824" s="71"/>
      <c r="AO824" s="71"/>
      <c r="AP824" s="71"/>
      <c r="AQ824" s="71"/>
      <c r="AR824" s="71"/>
    </row>
    <row r="825" ht="15.75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71"/>
      <c r="AJ825" s="71"/>
      <c r="AK825" s="71"/>
      <c r="AL825" s="71"/>
      <c r="AM825" s="71"/>
      <c r="AN825" s="71"/>
      <c r="AO825" s="71"/>
      <c r="AP825" s="71"/>
      <c r="AQ825" s="71"/>
      <c r="AR825" s="71"/>
    </row>
    <row r="826" ht="15.75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71"/>
      <c r="AJ826" s="71"/>
      <c r="AK826" s="71"/>
      <c r="AL826" s="71"/>
      <c r="AM826" s="71"/>
      <c r="AN826" s="71"/>
      <c r="AO826" s="71"/>
      <c r="AP826" s="71"/>
      <c r="AQ826" s="71"/>
      <c r="AR826" s="71"/>
    </row>
    <row r="827" ht="15.75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71"/>
      <c r="AJ827" s="71"/>
      <c r="AK827" s="71"/>
      <c r="AL827" s="71"/>
      <c r="AM827" s="71"/>
      <c r="AN827" s="71"/>
      <c r="AO827" s="71"/>
      <c r="AP827" s="71"/>
      <c r="AQ827" s="71"/>
      <c r="AR827" s="71"/>
    </row>
    <row r="828" ht="15.75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71"/>
      <c r="AJ828" s="71"/>
      <c r="AK828" s="71"/>
      <c r="AL828" s="71"/>
      <c r="AM828" s="71"/>
      <c r="AN828" s="71"/>
      <c r="AO828" s="71"/>
      <c r="AP828" s="71"/>
      <c r="AQ828" s="71"/>
      <c r="AR828" s="71"/>
    </row>
    <row r="829" ht="15.75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71"/>
      <c r="AJ829" s="71"/>
      <c r="AK829" s="71"/>
      <c r="AL829" s="71"/>
      <c r="AM829" s="71"/>
      <c r="AN829" s="71"/>
      <c r="AO829" s="71"/>
      <c r="AP829" s="71"/>
      <c r="AQ829" s="71"/>
      <c r="AR829" s="71"/>
    </row>
    <row r="830" ht="15.75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71"/>
      <c r="AJ830" s="71"/>
      <c r="AK830" s="71"/>
      <c r="AL830" s="71"/>
      <c r="AM830" s="71"/>
      <c r="AN830" s="71"/>
      <c r="AO830" s="71"/>
      <c r="AP830" s="71"/>
      <c r="AQ830" s="71"/>
      <c r="AR830" s="71"/>
    </row>
    <row r="831" ht="15.75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71"/>
      <c r="AJ831" s="71"/>
      <c r="AK831" s="71"/>
      <c r="AL831" s="71"/>
      <c r="AM831" s="71"/>
      <c r="AN831" s="71"/>
      <c r="AO831" s="71"/>
      <c r="AP831" s="71"/>
      <c r="AQ831" s="71"/>
      <c r="AR831" s="71"/>
    </row>
    <row r="832" ht="15.75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71"/>
      <c r="AJ832" s="71"/>
      <c r="AK832" s="71"/>
      <c r="AL832" s="71"/>
      <c r="AM832" s="71"/>
      <c r="AN832" s="71"/>
      <c r="AO832" s="71"/>
      <c r="AP832" s="71"/>
      <c r="AQ832" s="71"/>
      <c r="AR832" s="71"/>
    </row>
    <row r="833" ht="15.75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71"/>
      <c r="AJ833" s="71"/>
      <c r="AK833" s="71"/>
      <c r="AL833" s="71"/>
      <c r="AM833" s="71"/>
      <c r="AN833" s="71"/>
      <c r="AO833" s="71"/>
      <c r="AP833" s="71"/>
      <c r="AQ833" s="71"/>
      <c r="AR833" s="71"/>
    </row>
    <row r="834" ht="15.75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71"/>
      <c r="AJ834" s="71"/>
      <c r="AK834" s="71"/>
      <c r="AL834" s="71"/>
      <c r="AM834" s="71"/>
      <c r="AN834" s="71"/>
      <c r="AO834" s="71"/>
      <c r="AP834" s="71"/>
      <c r="AQ834" s="71"/>
      <c r="AR834" s="71"/>
    </row>
    <row r="835" ht="15.75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71"/>
      <c r="AJ835" s="71"/>
      <c r="AK835" s="71"/>
      <c r="AL835" s="71"/>
      <c r="AM835" s="71"/>
      <c r="AN835" s="71"/>
      <c r="AO835" s="71"/>
      <c r="AP835" s="71"/>
      <c r="AQ835" s="71"/>
      <c r="AR835" s="71"/>
    </row>
    <row r="836" ht="15.75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71"/>
      <c r="AJ836" s="71"/>
      <c r="AK836" s="71"/>
      <c r="AL836" s="71"/>
      <c r="AM836" s="71"/>
      <c r="AN836" s="71"/>
      <c r="AO836" s="71"/>
      <c r="AP836" s="71"/>
      <c r="AQ836" s="71"/>
      <c r="AR836" s="71"/>
    </row>
    <row r="837" ht="15.75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71"/>
      <c r="AJ837" s="71"/>
      <c r="AK837" s="71"/>
      <c r="AL837" s="71"/>
      <c r="AM837" s="71"/>
      <c r="AN837" s="71"/>
      <c r="AO837" s="71"/>
      <c r="AP837" s="71"/>
      <c r="AQ837" s="71"/>
      <c r="AR837" s="71"/>
    </row>
    <row r="838" ht="15.75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71"/>
      <c r="AJ838" s="71"/>
      <c r="AK838" s="71"/>
      <c r="AL838" s="71"/>
      <c r="AM838" s="71"/>
      <c r="AN838" s="71"/>
      <c r="AO838" s="71"/>
      <c r="AP838" s="71"/>
      <c r="AQ838" s="71"/>
      <c r="AR838" s="71"/>
    </row>
    <row r="839" ht="15.75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71"/>
      <c r="AJ839" s="71"/>
      <c r="AK839" s="71"/>
      <c r="AL839" s="71"/>
      <c r="AM839" s="71"/>
      <c r="AN839" s="71"/>
      <c r="AO839" s="71"/>
      <c r="AP839" s="71"/>
      <c r="AQ839" s="71"/>
      <c r="AR839" s="71"/>
    </row>
    <row r="840" ht="15.75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71"/>
      <c r="AJ840" s="71"/>
      <c r="AK840" s="71"/>
      <c r="AL840" s="71"/>
      <c r="AM840" s="71"/>
      <c r="AN840" s="71"/>
      <c r="AO840" s="71"/>
      <c r="AP840" s="71"/>
      <c r="AQ840" s="71"/>
      <c r="AR840" s="71"/>
    </row>
    <row r="841" ht="15.75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71"/>
      <c r="AJ841" s="71"/>
      <c r="AK841" s="71"/>
      <c r="AL841" s="71"/>
      <c r="AM841" s="71"/>
      <c r="AN841" s="71"/>
      <c r="AO841" s="71"/>
      <c r="AP841" s="71"/>
      <c r="AQ841" s="71"/>
      <c r="AR841" s="71"/>
    </row>
    <row r="842" ht="15.75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71"/>
      <c r="AJ842" s="71"/>
      <c r="AK842" s="71"/>
      <c r="AL842" s="71"/>
      <c r="AM842" s="71"/>
      <c r="AN842" s="71"/>
      <c r="AO842" s="71"/>
      <c r="AP842" s="71"/>
      <c r="AQ842" s="71"/>
      <c r="AR842" s="71"/>
    </row>
    <row r="843" ht="15.75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71"/>
      <c r="AJ843" s="71"/>
      <c r="AK843" s="71"/>
      <c r="AL843" s="71"/>
      <c r="AM843" s="71"/>
      <c r="AN843" s="71"/>
      <c r="AO843" s="71"/>
      <c r="AP843" s="71"/>
      <c r="AQ843" s="71"/>
      <c r="AR843" s="71"/>
    </row>
    <row r="844" ht="15.75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71"/>
      <c r="AJ844" s="71"/>
      <c r="AK844" s="71"/>
      <c r="AL844" s="71"/>
      <c r="AM844" s="71"/>
      <c r="AN844" s="71"/>
      <c r="AO844" s="71"/>
      <c r="AP844" s="71"/>
      <c r="AQ844" s="71"/>
      <c r="AR844" s="71"/>
    </row>
    <row r="845" ht="15.75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71"/>
      <c r="AJ845" s="71"/>
      <c r="AK845" s="71"/>
      <c r="AL845" s="71"/>
      <c r="AM845" s="71"/>
      <c r="AN845" s="71"/>
      <c r="AO845" s="71"/>
      <c r="AP845" s="71"/>
      <c r="AQ845" s="71"/>
      <c r="AR845" s="71"/>
    </row>
    <row r="846" ht="15.75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71"/>
      <c r="AJ846" s="71"/>
      <c r="AK846" s="71"/>
      <c r="AL846" s="71"/>
      <c r="AM846" s="71"/>
      <c r="AN846" s="71"/>
      <c r="AO846" s="71"/>
      <c r="AP846" s="71"/>
      <c r="AQ846" s="71"/>
      <c r="AR846" s="71"/>
    </row>
    <row r="847" ht="15.75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71"/>
      <c r="AJ847" s="71"/>
      <c r="AK847" s="71"/>
      <c r="AL847" s="71"/>
      <c r="AM847" s="71"/>
      <c r="AN847" s="71"/>
      <c r="AO847" s="71"/>
      <c r="AP847" s="71"/>
      <c r="AQ847" s="71"/>
      <c r="AR847" s="71"/>
    </row>
    <row r="848" ht="15.75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71"/>
      <c r="AJ848" s="71"/>
      <c r="AK848" s="71"/>
      <c r="AL848" s="71"/>
      <c r="AM848" s="71"/>
      <c r="AN848" s="71"/>
      <c r="AO848" s="71"/>
      <c r="AP848" s="71"/>
      <c r="AQ848" s="71"/>
      <c r="AR848" s="71"/>
    </row>
    <row r="849" ht="15.75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71"/>
      <c r="AJ849" s="71"/>
      <c r="AK849" s="71"/>
      <c r="AL849" s="71"/>
      <c r="AM849" s="71"/>
      <c r="AN849" s="71"/>
      <c r="AO849" s="71"/>
      <c r="AP849" s="71"/>
      <c r="AQ849" s="71"/>
      <c r="AR849" s="71"/>
    </row>
    <row r="850" ht="15.75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71"/>
      <c r="AJ850" s="71"/>
      <c r="AK850" s="71"/>
      <c r="AL850" s="71"/>
      <c r="AM850" s="71"/>
      <c r="AN850" s="71"/>
      <c r="AO850" s="71"/>
      <c r="AP850" s="71"/>
      <c r="AQ850" s="71"/>
      <c r="AR850" s="71"/>
    </row>
    <row r="851" ht="15.75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71"/>
      <c r="AJ851" s="71"/>
      <c r="AK851" s="71"/>
      <c r="AL851" s="71"/>
      <c r="AM851" s="71"/>
      <c r="AN851" s="71"/>
      <c r="AO851" s="71"/>
      <c r="AP851" s="71"/>
      <c r="AQ851" s="71"/>
      <c r="AR851" s="71"/>
    </row>
    <row r="852" ht="15.75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71"/>
      <c r="AJ852" s="71"/>
      <c r="AK852" s="71"/>
      <c r="AL852" s="71"/>
      <c r="AM852" s="71"/>
      <c r="AN852" s="71"/>
      <c r="AO852" s="71"/>
      <c r="AP852" s="71"/>
      <c r="AQ852" s="71"/>
      <c r="AR852" s="71"/>
    </row>
    <row r="853" ht="15.75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71"/>
      <c r="AJ853" s="71"/>
      <c r="AK853" s="71"/>
      <c r="AL853" s="71"/>
      <c r="AM853" s="71"/>
      <c r="AN853" s="71"/>
      <c r="AO853" s="71"/>
      <c r="AP853" s="71"/>
      <c r="AQ853" s="71"/>
      <c r="AR853" s="71"/>
    </row>
    <row r="854" ht="15.75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71"/>
      <c r="AJ854" s="71"/>
      <c r="AK854" s="71"/>
      <c r="AL854" s="71"/>
      <c r="AM854" s="71"/>
      <c r="AN854" s="71"/>
      <c r="AO854" s="71"/>
      <c r="AP854" s="71"/>
      <c r="AQ854" s="71"/>
      <c r="AR854" s="71"/>
    </row>
    <row r="855" ht="15.75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71"/>
      <c r="AJ855" s="71"/>
      <c r="AK855" s="71"/>
      <c r="AL855" s="71"/>
      <c r="AM855" s="71"/>
      <c r="AN855" s="71"/>
      <c r="AO855" s="71"/>
      <c r="AP855" s="71"/>
      <c r="AQ855" s="71"/>
      <c r="AR855" s="71"/>
    </row>
    <row r="856" ht="15.75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71"/>
      <c r="AJ856" s="71"/>
      <c r="AK856" s="71"/>
      <c r="AL856" s="71"/>
      <c r="AM856" s="71"/>
      <c r="AN856" s="71"/>
      <c r="AO856" s="71"/>
      <c r="AP856" s="71"/>
      <c r="AQ856" s="71"/>
      <c r="AR856" s="71"/>
    </row>
    <row r="857" ht="15.75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71"/>
      <c r="AJ857" s="71"/>
      <c r="AK857" s="71"/>
      <c r="AL857" s="71"/>
      <c r="AM857" s="71"/>
      <c r="AN857" s="71"/>
      <c r="AO857" s="71"/>
      <c r="AP857" s="71"/>
      <c r="AQ857" s="71"/>
      <c r="AR857" s="71"/>
    </row>
    <row r="858" ht="15.75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71"/>
      <c r="AJ858" s="71"/>
      <c r="AK858" s="71"/>
      <c r="AL858" s="71"/>
      <c r="AM858" s="71"/>
      <c r="AN858" s="71"/>
      <c r="AO858" s="71"/>
      <c r="AP858" s="71"/>
      <c r="AQ858" s="71"/>
      <c r="AR858" s="71"/>
    </row>
    <row r="859" ht="15.75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71"/>
      <c r="AJ859" s="71"/>
      <c r="AK859" s="71"/>
      <c r="AL859" s="71"/>
      <c r="AM859" s="71"/>
      <c r="AN859" s="71"/>
      <c r="AO859" s="71"/>
      <c r="AP859" s="71"/>
      <c r="AQ859" s="71"/>
      <c r="AR859" s="71"/>
    </row>
    <row r="860" ht="15.75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71"/>
      <c r="AJ860" s="71"/>
      <c r="AK860" s="71"/>
      <c r="AL860" s="71"/>
      <c r="AM860" s="71"/>
      <c r="AN860" s="71"/>
      <c r="AO860" s="71"/>
      <c r="AP860" s="71"/>
      <c r="AQ860" s="71"/>
      <c r="AR860" s="71"/>
    </row>
    <row r="861" ht="15.75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71"/>
      <c r="AJ861" s="71"/>
      <c r="AK861" s="71"/>
      <c r="AL861" s="71"/>
      <c r="AM861" s="71"/>
      <c r="AN861" s="71"/>
      <c r="AO861" s="71"/>
      <c r="AP861" s="71"/>
      <c r="AQ861" s="71"/>
      <c r="AR861" s="71"/>
    </row>
    <row r="862" ht="15.75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71"/>
      <c r="AJ862" s="71"/>
      <c r="AK862" s="71"/>
      <c r="AL862" s="71"/>
      <c r="AM862" s="71"/>
      <c r="AN862" s="71"/>
      <c r="AO862" s="71"/>
      <c r="AP862" s="71"/>
      <c r="AQ862" s="71"/>
      <c r="AR862" s="71"/>
    </row>
    <row r="863" ht="15.75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71"/>
      <c r="AJ863" s="71"/>
      <c r="AK863" s="71"/>
      <c r="AL863" s="71"/>
      <c r="AM863" s="71"/>
      <c r="AN863" s="71"/>
      <c r="AO863" s="71"/>
      <c r="AP863" s="71"/>
      <c r="AQ863" s="71"/>
      <c r="AR863" s="71"/>
    </row>
    <row r="864" ht="15.75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71"/>
      <c r="AJ864" s="71"/>
      <c r="AK864" s="71"/>
      <c r="AL864" s="71"/>
      <c r="AM864" s="71"/>
      <c r="AN864" s="71"/>
      <c r="AO864" s="71"/>
      <c r="AP864" s="71"/>
      <c r="AQ864" s="71"/>
      <c r="AR864" s="71"/>
    </row>
    <row r="865" ht="15.75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71"/>
      <c r="AJ865" s="71"/>
      <c r="AK865" s="71"/>
      <c r="AL865" s="71"/>
      <c r="AM865" s="71"/>
      <c r="AN865" s="71"/>
      <c r="AO865" s="71"/>
      <c r="AP865" s="71"/>
      <c r="AQ865" s="71"/>
      <c r="AR865" s="71"/>
    </row>
    <row r="866" ht="15.75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71"/>
      <c r="AJ866" s="71"/>
      <c r="AK866" s="71"/>
      <c r="AL866" s="71"/>
      <c r="AM866" s="71"/>
      <c r="AN866" s="71"/>
      <c r="AO866" s="71"/>
      <c r="AP866" s="71"/>
      <c r="AQ866" s="71"/>
      <c r="AR866" s="71"/>
    </row>
    <row r="867" ht="15.75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71"/>
      <c r="AJ867" s="71"/>
      <c r="AK867" s="71"/>
      <c r="AL867" s="71"/>
      <c r="AM867" s="71"/>
      <c r="AN867" s="71"/>
      <c r="AO867" s="71"/>
      <c r="AP867" s="71"/>
      <c r="AQ867" s="71"/>
      <c r="AR867" s="71"/>
    </row>
    <row r="868" ht="15.75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71"/>
      <c r="AJ868" s="71"/>
      <c r="AK868" s="71"/>
      <c r="AL868" s="71"/>
      <c r="AM868" s="71"/>
      <c r="AN868" s="71"/>
      <c r="AO868" s="71"/>
      <c r="AP868" s="71"/>
      <c r="AQ868" s="71"/>
      <c r="AR868" s="71"/>
    </row>
    <row r="869" ht="15.75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71"/>
      <c r="AJ869" s="71"/>
      <c r="AK869" s="71"/>
      <c r="AL869" s="71"/>
      <c r="AM869" s="71"/>
      <c r="AN869" s="71"/>
      <c r="AO869" s="71"/>
      <c r="AP869" s="71"/>
      <c r="AQ869" s="71"/>
      <c r="AR869" s="71"/>
    </row>
    <row r="870" ht="15.75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71"/>
      <c r="AJ870" s="71"/>
      <c r="AK870" s="71"/>
      <c r="AL870" s="71"/>
      <c r="AM870" s="71"/>
      <c r="AN870" s="71"/>
      <c r="AO870" s="71"/>
      <c r="AP870" s="71"/>
      <c r="AQ870" s="71"/>
      <c r="AR870" s="71"/>
    </row>
    <row r="871" ht="15.75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71"/>
      <c r="AJ871" s="71"/>
      <c r="AK871" s="71"/>
      <c r="AL871" s="71"/>
      <c r="AM871" s="71"/>
      <c r="AN871" s="71"/>
      <c r="AO871" s="71"/>
      <c r="AP871" s="71"/>
      <c r="AQ871" s="71"/>
      <c r="AR871" s="71"/>
    </row>
    <row r="872" ht="15.75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71"/>
      <c r="AJ872" s="71"/>
      <c r="AK872" s="71"/>
      <c r="AL872" s="71"/>
      <c r="AM872" s="71"/>
      <c r="AN872" s="71"/>
      <c r="AO872" s="71"/>
      <c r="AP872" s="71"/>
      <c r="AQ872" s="71"/>
      <c r="AR872" s="71"/>
    </row>
    <row r="873" ht="15.75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71"/>
      <c r="AJ873" s="71"/>
      <c r="AK873" s="71"/>
      <c r="AL873" s="71"/>
      <c r="AM873" s="71"/>
      <c r="AN873" s="71"/>
      <c r="AO873" s="71"/>
      <c r="AP873" s="71"/>
      <c r="AQ873" s="71"/>
      <c r="AR873" s="71"/>
    </row>
    <row r="874" ht="15.75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71"/>
      <c r="AJ874" s="71"/>
      <c r="AK874" s="71"/>
      <c r="AL874" s="71"/>
      <c r="AM874" s="71"/>
      <c r="AN874" s="71"/>
      <c r="AO874" s="71"/>
      <c r="AP874" s="71"/>
      <c r="AQ874" s="71"/>
      <c r="AR874" s="71"/>
    </row>
    <row r="875" ht="15.75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71"/>
      <c r="AJ875" s="71"/>
      <c r="AK875" s="71"/>
      <c r="AL875" s="71"/>
      <c r="AM875" s="71"/>
      <c r="AN875" s="71"/>
      <c r="AO875" s="71"/>
      <c r="AP875" s="71"/>
      <c r="AQ875" s="71"/>
      <c r="AR875" s="71"/>
    </row>
    <row r="876" ht="15.75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71"/>
      <c r="AJ876" s="71"/>
      <c r="AK876" s="71"/>
      <c r="AL876" s="71"/>
      <c r="AM876" s="71"/>
      <c r="AN876" s="71"/>
      <c r="AO876" s="71"/>
      <c r="AP876" s="71"/>
      <c r="AQ876" s="71"/>
      <c r="AR876" s="71"/>
    </row>
    <row r="877" ht="15.75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71"/>
      <c r="AJ877" s="71"/>
      <c r="AK877" s="71"/>
      <c r="AL877" s="71"/>
      <c r="AM877" s="71"/>
      <c r="AN877" s="71"/>
      <c r="AO877" s="71"/>
      <c r="AP877" s="71"/>
      <c r="AQ877" s="71"/>
      <c r="AR877" s="71"/>
    </row>
    <row r="878" ht="15.75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71"/>
      <c r="AJ878" s="71"/>
      <c r="AK878" s="71"/>
      <c r="AL878" s="71"/>
      <c r="AM878" s="71"/>
      <c r="AN878" s="71"/>
      <c r="AO878" s="71"/>
      <c r="AP878" s="71"/>
      <c r="AQ878" s="71"/>
      <c r="AR878" s="71"/>
    </row>
    <row r="879" ht="15.75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71"/>
      <c r="AJ879" s="71"/>
      <c r="AK879" s="71"/>
      <c r="AL879" s="71"/>
      <c r="AM879" s="71"/>
      <c r="AN879" s="71"/>
      <c r="AO879" s="71"/>
      <c r="AP879" s="71"/>
      <c r="AQ879" s="71"/>
      <c r="AR879" s="71"/>
    </row>
    <row r="880" ht="15.75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71"/>
      <c r="AJ880" s="71"/>
      <c r="AK880" s="71"/>
      <c r="AL880" s="71"/>
      <c r="AM880" s="71"/>
      <c r="AN880" s="71"/>
      <c r="AO880" s="71"/>
      <c r="AP880" s="71"/>
      <c r="AQ880" s="71"/>
      <c r="AR880" s="71"/>
    </row>
    <row r="881" ht="15.75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71"/>
      <c r="AJ881" s="71"/>
      <c r="AK881" s="71"/>
      <c r="AL881" s="71"/>
      <c r="AM881" s="71"/>
      <c r="AN881" s="71"/>
      <c r="AO881" s="71"/>
      <c r="AP881" s="71"/>
      <c r="AQ881" s="71"/>
      <c r="AR881" s="71"/>
    </row>
    <row r="882" ht="15.75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71"/>
      <c r="AJ882" s="71"/>
      <c r="AK882" s="71"/>
      <c r="AL882" s="71"/>
      <c r="AM882" s="71"/>
      <c r="AN882" s="71"/>
      <c r="AO882" s="71"/>
      <c r="AP882" s="71"/>
      <c r="AQ882" s="71"/>
      <c r="AR882" s="71"/>
    </row>
    <row r="883" ht="15.75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71"/>
      <c r="AJ883" s="71"/>
      <c r="AK883" s="71"/>
      <c r="AL883" s="71"/>
      <c r="AM883" s="71"/>
      <c r="AN883" s="71"/>
      <c r="AO883" s="71"/>
      <c r="AP883" s="71"/>
      <c r="AQ883" s="71"/>
      <c r="AR883" s="71"/>
    </row>
    <row r="884" ht="15.75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71"/>
      <c r="AJ884" s="71"/>
      <c r="AK884" s="71"/>
      <c r="AL884" s="71"/>
      <c r="AM884" s="71"/>
      <c r="AN884" s="71"/>
      <c r="AO884" s="71"/>
      <c r="AP884" s="71"/>
      <c r="AQ884" s="71"/>
      <c r="AR884" s="71"/>
    </row>
    <row r="885" ht="15.75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71"/>
      <c r="AJ885" s="71"/>
      <c r="AK885" s="71"/>
      <c r="AL885" s="71"/>
      <c r="AM885" s="71"/>
      <c r="AN885" s="71"/>
      <c r="AO885" s="71"/>
      <c r="AP885" s="71"/>
      <c r="AQ885" s="71"/>
      <c r="AR885" s="71"/>
    </row>
    <row r="886" ht="15.75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71"/>
      <c r="AJ886" s="71"/>
      <c r="AK886" s="71"/>
      <c r="AL886" s="71"/>
      <c r="AM886" s="71"/>
      <c r="AN886" s="71"/>
      <c r="AO886" s="71"/>
      <c r="AP886" s="71"/>
      <c r="AQ886" s="71"/>
      <c r="AR886" s="71"/>
    </row>
    <row r="887" ht="15.75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71"/>
      <c r="AJ887" s="71"/>
      <c r="AK887" s="71"/>
      <c r="AL887" s="71"/>
      <c r="AM887" s="71"/>
      <c r="AN887" s="71"/>
      <c r="AO887" s="71"/>
      <c r="AP887" s="71"/>
      <c r="AQ887" s="71"/>
      <c r="AR887" s="71"/>
    </row>
    <row r="888" ht="15.75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71"/>
      <c r="AJ888" s="71"/>
      <c r="AK888" s="71"/>
      <c r="AL888" s="71"/>
      <c r="AM888" s="71"/>
      <c r="AN888" s="71"/>
      <c r="AO888" s="71"/>
      <c r="AP888" s="71"/>
      <c r="AQ888" s="71"/>
      <c r="AR888" s="71"/>
    </row>
    <row r="889" ht="15.75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71"/>
      <c r="AJ889" s="71"/>
      <c r="AK889" s="71"/>
      <c r="AL889" s="71"/>
      <c r="AM889" s="71"/>
      <c r="AN889" s="71"/>
      <c r="AO889" s="71"/>
      <c r="AP889" s="71"/>
      <c r="AQ889" s="71"/>
      <c r="AR889" s="71"/>
    </row>
    <row r="890" ht="15.75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71"/>
      <c r="AJ890" s="71"/>
      <c r="AK890" s="71"/>
      <c r="AL890" s="71"/>
      <c r="AM890" s="71"/>
      <c r="AN890" s="71"/>
      <c r="AO890" s="71"/>
      <c r="AP890" s="71"/>
      <c r="AQ890" s="71"/>
      <c r="AR890" s="71"/>
    </row>
    <row r="891" ht="15.75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71"/>
      <c r="AJ891" s="71"/>
      <c r="AK891" s="71"/>
      <c r="AL891" s="71"/>
      <c r="AM891" s="71"/>
      <c r="AN891" s="71"/>
      <c r="AO891" s="71"/>
      <c r="AP891" s="71"/>
      <c r="AQ891" s="71"/>
      <c r="AR891" s="71"/>
    </row>
    <row r="892" ht="15.75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71"/>
      <c r="AJ892" s="71"/>
      <c r="AK892" s="71"/>
      <c r="AL892" s="71"/>
      <c r="AM892" s="71"/>
      <c r="AN892" s="71"/>
      <c r="AO892" s="71"/>
      <c r="AP892" s="71"/>
      <c r="AQ892" s="71"/>
      <c r="AR892" s="71"/>
    </row>
    <row r="893" ht="15.75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71"/>
      <c r="AJ893" s="71"/>
      <c r="AK893" s="71"/>
      <c r="AL893" s="71"/>
      <c r="AM893" s="71"/>
      <c r="AN893" s="71"/>
      <c r="AO893" s="71"/>
      <c r="AP893" s="71"/>
      <c r="AQ893" s="71"/>
      <c r="AR893" s="71"/>
    </row>
    <row r="894" ht="15.75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71"/>
      <c r="AJ894" s="71"/>
      <c r="AK894" s="71"/>
      <c r="AL894" s="71"/>
      <c r="AM894" s="71"/>
      <c r="AN894" s="71"/>
      <c r="AO894" s="71"/>
      <c r="AP894" s="71"/>
      <c r="AQ894" s="71"/>
      <c r="AR894" s="71"/>
    </row>
    <row r="895" ht="15.75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71"/>
      <c r="AJ895" s="71"/>
      <c r="AK895" s="71"/>
      <c r="AL895" s="71"/>
      <c r="AM895" s="71"/>
      <c r="AN895" s="71"/>
      <c r="AO895" s="71"/>
      <c r="AP895" s="71"/>
      <c r="AQ895" s="71"/>
      <c r="AR895" s="71"/>
    </row>
    <row r="896" ht="15.75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71"/>
      <c r="AJ896" s="71"/>
      <c r="AK896" s="71"/>
      <c r="AL896" s="71"/>
      <c r="AM896" s="71"/>
      <c r="AN896" s="71"/>
      <c r="AO896" s="71"/>
      <c r="AP896" s="71"/>
      <c r="AQ896" s="71"/>
      <c r="AR896" s="71"/>
    </row>
    <row r="897" ht="15.75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71"/>
      <c r="AJ897" s="71"/>
      <c r="AK897" s="71"/>
      <c r="AL897" s="71"/>
      <c r="AM897" s="71"/>
      <c r="AN897" s="71"/>
      <c r="AO897" s="71"/>
      <c r="AP897" s="71"/>
      <c r="AQ897" s="71"/>
      <c r="AR897" s="71"/>
    </row>
    <row r="898" ht="15.75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71"/>
      <c r="AJ898" s="71"/>
      <c r="AK898" s="71"/>
      <c r="AL898" s="71"/>
      <c r="AM898" s="71"/>
      <c r="AN898" s="71"/>
      <c r="AO898" s="71"/>
      <c r="AP898" s="71"/>
      <c r="AQ898" s="71"/>
      <c r="AR898" s="71"/>
    </row>
    <row r="899" ht="15.75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71"/>
      <c r="AJ899" s="71"/>
      <c r="AK899" s="71"/>
      <c r="AL899" s="71"/>
      <c r="AM899" s="71"/>
      <c r="AN899" s="71"/>
      <c r="AO899" s="71"/>
      <c r="AP899" s="71"/>
      <c r="AQ899" s="71"/>
      <c r="AR899" s="71"/>
    </row>
    <row r="900" ht="15.75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71"/>
      <c r="AJ900" s="71"/>
      <c r="AK900" s="71"/>
      <c r="AL900" s="71"/>
      <c r="AM900" s="71"/>
      <c r="AN900" s="71"/>
      <c r="AO900" s="71"/>
      <c r="AP900" s="71"/>
      <c r="AQ900" s="71"/>
      <c r="AR900" s="71"/>
    </row>
    <row r="901" ht="15.75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71"/>
      <c r="AJ901" s="71"/>
      <c r="AK901" s="71"/>
      <c r="AL901" s="71"/>
      <c r="AM901" s="71"/>
      <c r="AN901" s="71"/>
      <c r="AO901" s="71"/>
      <c r="AP901" s="71"/>
      <c r="AQ901" s="71"/>
      <c r="AR901" s="71"/>
    </row>
    <row r="902" ht="15.75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71"/>
      <c r="AJ902" s="71"/>
      <c r="AK902" s="71"/>
      <c r="AL902" s="71"/>
      <c r="AM902" s="71"/>
      <c r="AN902" s="71"/>
      <c r="AO902" s="71"/>
      <c r="AP902" s="71"/>
      <c r="AQ902" s="71"/>
      <c r="AR902" s="71"/>
    </row>
    <row r="903" ht="15.75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71"/>
      <c r="AJ903" s="71"/>
      <c r="AK903" s="71"/>
      <c r="AL903" s="71"/>
      <c r="AM903" s="71"/>
      <c r="AN903" s="71"/>
      <c r="AO903" s="71"/>
      <c r="AP903" s="71"/>
      <c r="AQ903" s="71"/>
      <c r="AR903" s="71"/>
    </row>
    <row r="904" ht="15.75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71"/>
      <c r="AJ904" s="71"/>
      <c r="AK904" s="71"/>
      <c r="AL904" s="71"/>
      <c r="AM904" s="71"/>
      <c r="AN904" s="71"/>
      <c r="AO904" s="71"/>
      <c r="AP904" s="71"/>
      <c r="AQ904" s="71"/>
      <c r="AR904" s="71"/>
    </row>
    <row r="905" ht="15.75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71"/>
      <c r="AJ905" s="71"/>
      <c r="AK905" s="71"/>
      <c r="AL905" s="71"/>
      <c r="AM905" s="71"/>
      <c r="AN905" s="71"/>
      <c r="AO905" s="71"/>
      <c r="AP905" s="71"/>
      <c r="AQ905" s="71"/>
      <c r="AR905" s="71"/>
    </row>
    <row r="906" ht="15.75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71"/>
      <c r="AJ906" s="71"/>
      <c r="AK906" s="71"/>
      <c r="AL906" s="71"/>
      <c r="AM906" s="71"/>
      <c r="AN906" s="71"/>
      <c r="AO906" s="71"/>
      <c r="AP906" s="71"/>
      <c r="AQ906" s="71"/>
      <c r="AR906" s="71"/>
    </row>
    <row r="907" ht="15.75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71"/>
      <c r="AJ907" s="71"/>
      <c r="AK907" s="71"/>
      <c r="AL907" s="71"/>
      <c r="AM907" s="71"/>
      <c r="AN907" s="71"/>
      <c r="AO907" s="71"/>
      <c r="AP907" s="71"/>
      <c r="AQ907" s="71"/>
      <c r="AR907" s="71"/>
    </row>
    <row r="908" ht="15.75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71"/>
      <c r="AJ908" s="71"/>
      <c r="AK908" s="71"/>
      <c r="AL908" s="71"/>
      <c r="AM908" s="71"/>
      <c r="AN908" s="71"/>
      <c r="AO908" s="71"/>
      <c r="AP908" s="71"/>
      <c r="AQ908" s="71"/>
      <c r="AR908" s="71"/>
    </row>
    <row r="909" ht="15.75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71"/>
      <c r="AJ909" s="71"/>
      <c r="AK909" s="71"/>
      <c r="AL909" s="71"/>
      <c r="AM909" s="71"/>
      <c r="AN909" s="71"/>
      <c r="AO909" s="71"/>
      <c r="AP909" s="71"/>
      <c r="AQ909" s="71"/>
      <c r="AR909" s="71"/>
    </row>
    <row r="910" ht="15.75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71"/>
      <c r="AJ910" s="71"/>
      <c r="AK910" s="71"/>
      <c r="AL910" s="71"/>
      <c r="AM910" s="71"/>
      <c r="AN910" s="71"/>
      <c r="AO910" s="71"/>
      <c r="AP910" s="71"/>
      <c r="AQ910" s="71"/>
      <c r="AR910" s="71"/>
    </row>
    <row r="911" ht="15.75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71"/>
      <c r="AJ911" s="71"/>
      <c r="AK911" s="71"/>
      <c r="AL911" s="71"/>
      <c r="AM911" s="71"/>
      <c r="AN911" s="71"/>
      <c r="AO911" s="71"/>
      <c r="AP911" s="71"/>
      <c r="AQ911" s="71"/>
      <c r="AR911" s="71"/>
    </row>
    <row r="912" ht="15.75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71"/>
      <c r="AJ912" s="71"/>
      <c r="AK912" s="71"/>
      <c r="AL912" s="71"/>
      <c r="AM912" s="71"/>
      <c r="AN912" s="71"/>
      <c r="AO912" s="71"/>
      <c r="AP912" s="71"/>
      <c r="AQ912" s="71"/>
      <c r="AR912" s="71"/>
    </row>
    <row r="913" ht="15.75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71"/>
      <c r="AJ913" s="71"/>
      <c r="AK913" s="71"/>
      <c r="AL913" s="71"/>
      <c r="AM913" s="71"/>
      <c r="AN913" s="71"/>
      <c r="AO913" s="71"/>
      <c r="AP913" s="71"/>
      <c r="AQ913" s="71"/>
      <c r="AR913" s="71"/>
    </row>
    <row r="914" ht="15.75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71"/>
      <c r="AJ914" s="71"/>
      <c r="AK914" s="71"/>
      <c r="AL914" s="71"/>
      <c r="AM914" s="71"/>
      <c r="AN914" s="71"/>
      <c r="AO914" s="71"/>
      <c r="AP914" s="71"/>
      <c r="AQ914" s="71"/>
      <c r="AR914" s="71"/>
    </row>
    <row r="915" ht="15.75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71"/>
      <c r="AJ915" s="71"/>
      <c r="AK915" s="71"/>
      <c r="AL915" s="71"/>
      <c r="AM915" s="71"/>
      <c r="AN915" s="71"/>
      <c r="AO915" s="71"/>
      <c r="AP915" s="71"/>
      <c r="AQ915" s="71"/>
      <c r="AR915" s="71"/>
    </row>
    <row r="916" ht="15.75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71"/>
      <c r="AJ916" s="71"/>
      <c r="AK916" s="71"/>
      <c r="AL916" s="71"/>
      <c r="AM916" s="71"/>
      <c r="AN916" s="71"/>
      <c r="AO916" s="71"/>
      <c r="AP916" s="71"/>
      <c r="AQ916" s="71"/>
      <c r="AR916" s="71"/>
    </row>
    <row r="917" ht="15.75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71"/>
      <c r="AJ917" s="71"/>
      <c r="AK917" s="71"/>
      <c r="AL917" s="71"/>
      <c r="AM917" s="71"/>
      <c r="AN917" s="71"/>
      <c r="AO917" s="71"/>
      <c r="AP917" s="71"/>
      <c r="AQ917" s="71"/>
      <c r="AR917" s="71"/>
    </row>
    <row r="918" ht="15.75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71"/>
      <c r="AJ918" s="71"/>
      <c r="AK918" s="71"/>
      <c r="AL918" s="71"/>
      <c r="AM918" s="71"/>
      <c r="AN918" s="71"/>
      <c r="AO918" s="71"/>
      <c r="AP918" s="71"/>
      <c r="AQ918" s="71"/>
      <c r="AR918" s="71"/>
    </row>
    <row r="919" ht="15.75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71"/>
      <c r="AJ919" s="71"/>
      <c r="AK919" s="71"/>
      <c r="AL919" s="71"/>
      <c r="AM919" s="71"/>
      <c r="AN919" s="71"/>
      <c r="AO919" s="71"/>
      <c r="AP919" s="71"/>
      <c r="AQ919" s="71"/>
      <c r="AR919" s="71"/>
    </row>
    <row r="920" ht="15.75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71"/>
      <c r="AJ920" s="71"/>
      <c r="AK920" s="71"/>
      <c r="AL920" s="71"/>
      <c r="AM920" s="71"/>
      <c r="AN920" s="71"/>
      <c r="AO920" s="71"/>
      <c r="AP920" s="71"/>
      <c r="AQ920" s="71"/>
      <c r="AR920" s="71"/>
    </row>
    <row r="921" ht="15.75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71"/>
      <c r="AJ921" s="71"/>
      <c r="AK921" s="71"/>
      <c r="AL921" s="71"/>
      <c r="AM921" s="71"/>
      <c r="AN921" s="71"/>
      <c r="AO921" s="71"/>
      <c r="AP921" s="71"/>
      <c r="AQ921" s="71"/>
      <c r="AR921" s="71"/>
    </row>
    <row r="922" ht="15.75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71"/>
      <c r="AJ922" s="71"/>
      <c r="AK922" s="71"/>
      <c r="AL922" s="71"/>
      <c r="AM922" s="71"/>
      <c r="AN922" s="71"/>
      <c r="AO922" s="71"/>
      <c r="AP922" s="71"/>
      <c r="AQ922" s="71"/>
      <c r="AR922" s="71"/>
    </row>
    <row r="923" ht="15.75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71"/>
      <c r="AJ923" s="71"/>
      <c r="AK923" s="71"/>
      <c r="AL923" s="71"/>
      <c r="AM923" s="71"/>
      <c r="AN923" s="71"/>
      <c r="AO923" s="71"/>
      <c r="AP923" s="71"/>
      <c r="AQ923" s="71"/>
      <c r="AR923" s="71"/>
    </row>
    <row r="924" ht="15.75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71"/>
      <c r="AJ924" s="71"/>
      <c r="AK924" s="71"/>
      <c r="AL924" s="71"/>
      <c r="AM924" s="71"/>
      <c r="AN924" s="71"/>
      <c r="AO924" s="71"/>
      <c r="AP924" s="71"/>
      <c r="AQ924" s="71"/>
      <c r="AR924" s="71"/>
    </row>
    <row r="925" ht="15.75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71"/>
      <c r="AJ925" s="71"/>
      <c r="AK925" s="71"/>
      <c r="AL925" s="71"/>
      <c r="AM925" s="71"/>
      <c r="AN925" s="71"/>
      <c r="AO925" s="71"/>
      <c r="AP925" s="71"/>
      <c r="AQ925" s="71"/>
      <c r="AR925" s="71"/>
    </row>
    <row r="926" ht="15.75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71"/>
      <c r="AJ926" s="71"/>
      <c r="AK926" s="71"/>
      <c r="AL926" s="71"/>
      <c r="AM926" s="71"/>
      <c r="AN926" s="71"/>
      <c r="AO926" s="71"/>
      <c r="AP926" s="71"/>
      <c r="AQ926" s="71"/>
      <c r="AR926" s="71"/>
    </row>
    <row r="927" ht="15.75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71"/>
      <c r="AJ927" s="71"/>
      <c r="AK927" s="71"/>
      <c r="AL927" s="71"/>
      <c r="AM927" s="71"/>
      <c r="AN927" s="71"/>
      <c r="AO927" s="71"/>
      <c r="AP927" s="71"/>
      <c r="AQ927" s="71"/>
      <c r="AR927" s="71"/>
    </row>
    <row r="928" ht="15.75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71"/>
      <c r="AJ928" s="71"/>
      <c r="AK928" s="71"/>
      <c r="AL928" s="71"/>
      <c r="AM928" s="71"/>
      <c r="AN928" s="71"/>
      <c r="AO928" s="71"/>
      <c r="AP928" s="71"/>
      <c r="AQ928" s="71"/>
      <c r="AR928" s="71"/>
    </row>
    <row r="929" ht="15.75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71"/>
      <c r="AJ929" s="71"/>
      <c r="AK929" s="71"/>
      <c r="AL929" s="71"/>
      <c r="AM929" s="71"/>
      <c r="AN929" s="71"/>
      <c r="AO929" s="71"/>
      <c r="AP929" s="71"/>
      <c r="AQ929" s="71"/>
      <c r="AR929" s="71"/>
    </row>
    <row r="930" ht="15.75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71"/>
      <c r="AJ930" s="71"/>
      <c r="AK930" s="71"/>
      <c r="AL930" s="71"/>
      <c r="AM930" s="71"/>
      <c r="AN930" s="71"/>
      <c r="AO930" s="71"/>
      <c r="AP930" s="71"/>
      <c r="AQ930" s="71"/>
      <c r="AR930" s="71"/>
    </row>
    <row r="931" ht="15.75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71"/>
      <c r="AJ931" s="71"/>
      <c r="AK931" s="71"/>
      <c r="AL931" s="71"/>
      <c r="AM931" s="71"/>
      <c r="AN931" s="71"/>
      <c r="AO931" s="71"/>
      <c r="AP931" s="71"/>
      <c r="AQ931" s="71"/>
      <c r="AR931" s="71"/>
    </row>
    <row r="932" ht="15.75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71"/>
      <c r="AJ932" s="71"/>
      <c r="AK932" s="71"/>
      <c r="AL932" s="71"/>
      <c r="AM932" s="71"/>
      <c r="AN932" s="71"/>
      <c r="AO932" s="71"/>
      <c r="AP932" s="71"/>
      <c r="AQ932" s="71"/>
      <c r="AR932" s="71"/>
    </row>
    <row r="933" ht="15.75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71"/>
      <c r="AJ933" s="71"/>
      <c r="AK933" s="71"/>
      <c r="AL933" s="71"/>
      <c r="AM933" s="71"/>
      <c r="AN933" s="71"/>
      <c r="AO933" s="71"/>
      <c r="AP933" s="71"/>
      <c r="AQ933" s="71"/>
      <c r="AR933" s="71"/>
    </row>
    <row r="934" ht="15.75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71"/>
      <c r="AJ934" s="71"/>
      <c r="AK934" s="71"/>
      <c r="AL934" s="71"/>
      <c r="AM934" s="71"/>
      <c r="AN934" s="71"/>
      <c r="AO934" s="71"/>
      <c r="AP934" s="71"/>
      <c r="AQ934" s="71"/>
      <c r="AR934" s="71"/>
    </row>
    <row r="935" ht="15.75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71"/>
      <c r="AJ935" s="71"/>
      <c r="AK935" s="71"/>
      <c r="AL935" s="71"/>
      <c r="AM935" s="71"/>
      <c r="AN935" s="71"/>
      <c r="AO935" s="71"/>
      <c r="AP935" s="71"/>
      <c r="AQ935" s="71"/>
      <c r="AR935" s="71"/>
    </row>
    <row r="936" ht="15.75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71"/>
      <c r="AJ936" s="71"/>
      <c r="AK936" s="71"/>
      <c r="AL936" s="71"/>
      <c r="AM936" s="71"/>
      <c r="AN936" s="71"/>
      <c r="AO936" s="71"/>
      <c r="AP936" s="71"/>
      <c r="AQ936" s="71"/>
      <c r="AR936" s="71"/>
    </row>
    <row r="937" ht="15.75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71"/>
      <c r="AJ937" s="71"/>
      <c r="AK937" s="71"/>
      <c r="AL937" s="71"/>
      <c r="AM937" s="71"/>
      <c r="AN937" s="71"/>
      <c r="AO937" s="71"/>
      <c r="AP937" s="71"/>
      <c r="AQ937" s="71"/>
      <c r="AR937" s="71"/>
    </row>
    <row r="938" ht="15.75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71"/>
      <c r="AJ938" s="71"/>
      <c r="AK938" s="71"/>
      <c r="AL938" s="71"/>
      <c r="AM938" s="71"/>
      <c r="AN938" s="71"/>
      <c r="AO938" s="71"/>
      <c r="AP938" s="71"/>
      <c r="AQ938" s="71"/>
      <c r="AR938" s="71"/>
    </row>
    <row r="939" ht="15.75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71"/>
      <c r="AJ939" s="71"/>
      <c r="AK939" s="71"/>
      <c r="AL939" s="71"/>
      <c r="AM939" s="71"/>
      <c r="AN939" s="71"/>
      <c r="AO939" s="71"/>
      <c r="AP939" s="71"/>
      <c r="AQ939" s="71"/>
      <c r="AR939" s="71"/>
    </row>
    <row r="940" ht="15.75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71"/>
      <c r="AJ940" s="71"/>
      <c r="AK940" s="71"/>
      <c r="AL940" s="71"/>
      <c r="AM940" s="71"/>
      <c r="AN940" s="71"/>
      <c r="AO940" s="71"/>
      <c r="AP940" s="71"/>
      <c r="AQ940" s="71"/>
      <c r="AR940" s="71"/>
    </row>
    <row r="941" ht="15.75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71"/>
      <c r="AJ941" s="71"/>
      <c r="AK941" s="71"/>
      <c r="AL941" s="71"/>
      <c r="AM941" s="71"/>
      <c r="AN941" s="71"/>
      <c r="AO941" s="71"/>
      <c r="AP941" s="71"/>
      <c r="AQ941" s="71"/>
      <c r="AR941" s="71"/>
    </row>
    <row r="942" ht="15.75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71"/>
      <c r="AJ942" s="71"/>
      <c r="AK942" s="71"/>
      <c r="AL942" s="71"/>
      <c r="AM942" s="71"/>
      <c r="AN942" s="71"/>
      <c r="AO942" s="71"/>
      <c r="AP942" s="71"/>
      <c r="AQ942" s="71"/>
      <c r="AR942" s="71"/>
    </row>
    <row r="943" ht="15.75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71"/>
      <c r="AJ943" s="71"/>
      <c r="AK943" s="71"/>
      <c r="AL943" s="71"/>
      <c r="AM943" s="71"/>
      <c r="AN943" s="71"/>
      <c r="AO943" s="71"/>
      <c r="AP943" s="71"/>
      <c r="AQ943" s="71"/>
      <c r="AR943" s="71"/>
    </row>
    <row r="944" ht="15.75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71"/>
      <c r="AJ944" s="71"/>
      <c r="AK944" s="71"/>
      <c r="AL944" s="71"/>
      <c r="AM944" s="71"/>
      <c r="AN944" s="71"/>
      <c r="AO944" s="71"/>
      <c r="AP944" s="71"/>
      <c r="AQ944" s="71"/>
      <c r="AR944" s="71"/>
    </row>
    <row r="945" ht="15.75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71"/>
      <c r="AJ945" s="71"/>
      <c r="AK945" s="71"/>
      <c r="AL945" s="71"/>
      <c r="AM945" s="71"/>
      <c r="AN945" s="71"/>
      <c r="AO945" s="71"/>
      <c r="AP945" s="71"/>
      <c r="AQ945" s="71"/>
      <c r="AR945" s="71"/>
    </row>
    <row r="946" ht="15.75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71"/>
      <c r="AJ946" s="71"/>
      <c r="AK946" s="71"/>
      <c r="AL946" s="71"/>
      <c r="AM946" s="71"/>
      <c r="AN946" s="71"/>
      <c r="AO946" s="71"/>
      <c r="AP946" s="71"/>
      <c r="AQ946" s="71"/>
      <c r="AR946" s="71"/>
    </row>
    <row r="947" ht="15.75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71"/>
      <c r="AJ947" s="71"/>
      <c r="AK947" s="71"/>
      <c r="AL947" s="71"/>
      <c r="AM947" s="71"/>
      <c r="AN947" s="71"/>
      <c r="AO947" s="71"/>
      <c r="AP947" s="71"/>
      <c r="AQ947" s="71"/>
      <c r="AR947" s="71"/>
    </row>
    <row r="948" ht="15.75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71"/>
      <c r="AJ948" s="71"/>
      <c r="AK948" s="71"/>
      <c r="AL948" s="71"/>
      <c r="AM948" s="71"/>
      <c r="AN948" s="71"/>
      <c r="AO948" s="71"/>
      <c r="AP948" s="71"/>
      <c r="AQ948" s="71"/>
      <c r="AR948" s="71"/>
    </row>
    <row r="949" ht="15.75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71"/>
      <c r="AJ949" s="71"/>
      <c r="AK949" s="71"/>
      <c r="AL949" s="71"/>
      <c r="AM949" s="71"/>
      <c r="AN949" s="71"/>
      <c r="AO949" s="71"/>
      <c r="AP949" s="71"/>
      <c r="AQ949" s="71"/>
      <c r="AR949" s="71"/>
    </row>
    <row r="950" ht="15.75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71"/>
      <c r="AJ950" s="71"/>
      <c r="AK950" s="71"/>
      <c r="AL950" s="71"/>
      <c r="AM950" s="71"/>
      <c r="AN950" s="71"/>
      <c r="AO950" s="71"/>
      <c r="AP950" s="71"/>
      <c r="AQ950" s="71"/>
      <c r="AR950" s="71"/>
    </row>
    <row r="951" ht="15.75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71"/>
      <c r="AJ951" s="71"/>
      <c r="AK951" s="71"/>
      <c r="AL951" s="71"/>
      <c r="AM951" s="71"/>
      <c r="AN951" s="71"/>
      <c r="AO951" s="71"/>
      <c r="AP951" s="71"/>
      <c r="AQ951" s="71"/>
      <c r="AR951" s="71"/>
    </row>
    <row r="952" ht="15.75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71"/>
      <c r="AJ952" s="71"/>
      <c r="AK952" s="71"/>
      <c r="AL952" s="71"/>
      <c r="AM952" s="71"/>
      <c r="AN952" s="71"/>
      <c r="AO952" s="71"/>
      <c r="AP952" s="71"/>
      <c r="AQ952" s="71"/>
      <c r="AR952" s="71"/>
    </row>
    <row r="953" ht="15.75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71"/>
      <c r="AJ953" s="71"/>
      <c r="AK953" s="71"/>
      <c r="AL953" s="71"/>
      <c r="AM953" s="71"/>
      <c r="AN953" s="71"/>
      <c r="AO953" s="71"/>
      <c r="AP953" s="71"/>
      <c r="AQ953" s="71"/>
      <c r="AR953" s="71"/>
    </row>
    <row r="954" ht="15.75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71"/>
      <c r="AJ954" s="71"/>
      <c r="AK954" s="71"/>
      <c r="AL954" s="71"/>
      <c r="AM954" s="71"/>
      <c r="AN954" s="71"/>
      <c r="AO954" s="71"/>
      <c r="AP954" s="71"/>
      <c r="AQ954" s="71"/>
      <c r="AR954" s="71"/>
    </row>
    <row r="955" ht="15.75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71"/>
      <c r="AJ955" s="71"/>
      <c r="AK955" s="71"/>
      <c r="AL955" s="71"/>
      <c r="AM955" s="71"/>
      <c r="AN955" s="71"/>
      <c r="AO955" s="71"/>
      <c r="AP955" s="71"/>
      <c r="AQ955" s="71"/>
      <c r="AR955" s="71"/>
    </row>
    <row r="956" ht="15.75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71"/>
      <c r="AJ956" s="71"/>
      <c r="AK956" s="71"/>
      <c r="AL956" s="71"/>
      <c r="AM956" s="71"/>
      <c r="AN956" s="71"/>
      <c r="AO956" s="71"/>
      <c r="AP956" s="71"/>
      <c r="AQ956" s="71"/>
      <c r="AR956" s="71"/>
    </row>
    <row r="957" ht="15.75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71"/>
      <c r="AJ957" s="71"/>
      <c r="AK957" s="71"/>
      <c r="AL957" s="71"/>
      <c r="AM957" s="71"/>
      <c r="AN957" s="71"/>
      <c r="AO957" s="71"/>
      <c r="AP957" s="71"/>
      <c r="AQ957" s="71"/>
      <c r="AR957" s="71"/>
    </row>
    <row r="958" ht="15.75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71"/>
      <c r="AJ958" s="71"/>
      <c r="AK958" s="71"/>
      <c r="AL958" s="71"/>
      <c r="AM958" s="71"/>
      <c r="AN958" s="71"/>
      <c r="AO958" s="71"/>
      <c r="AP958" s="71"/>
      <c r="AQ958" s="71"/>
      <c r="AR958" s="71"/>
    </row>
    <row r="959" ht="15.75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71"/>
      <c r="AJ959" s="71"/>
      <c r="AK959" s="71"/>
      <c r="AL959" s="71"/>
      <c r="AM959" s="71"/>
      <c r="AN959" s="71"/>
      <c r="AO959" s="71"/>
      <c r="AP959" s="71"/>
      <c r="AQ959" s="71"/>
      <c r="AR959" s="71"/>
    </row>
    <row r="960" ht="15.75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71"/>
      <c r="AJ960" s="71"/>
      <c r="AK960" s="71"/>
      <c r="AL960" s="71"/>
      <c r="AM960" s="71"/>
      <c r="AN960" s="71"/>
      <c r="AO960" s="71"/>
      <c r="AP960" s="71"/>
      <c r="AQ960" s="71"/>
      <c r="AR960" s="71"/>
    </row>
    <row r="961" ht="15.75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71"/>
      <c r="AJ961" s="71"/>
      <c r="AK961" s="71"/>
      <c r="AL961" s="71"/>
      <c r="AM961" s="71"/>
      <c r="AN961" s="71"/>
      <c r="AO961" s="71"/>
      <c r="AP961" s="71"/>
      <c r="AQ961" s="71"/>
      <c r="AR961" s="71"/>
    </row>
    <row r="962" ht="15.75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71"/>
      <c r="AJ962" s="71"/>
      <c r="AK962" s="71"/>
      <c r="AL962" s="71"/>
      <c r="AM962" s="71"/>
      <c r="AN962" s="71"/>
      <c r="AO962" s="71"/>
      <c r="AP962" s="71"/>
      <c r="AQ962" s="71"/>
      <c r="AR962" s="71"/>
    </row>
    <row r="963" ht="15.75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71"/>
      <c r="AJ963" s="71"/>
      <c r="AK963" s="71"/>
      <c r="AL963" s="71"/>
      <c r="AM963" s="71"/>
      <c r="AN963" s="71"/>
      <c r="AO963" s="71"/>
      <c r="AP963" s="71"/>
      <c r="AQ963" s="71"/>
      <c r="AR963" s="71"/>
    </row>
    <row r="964" ht="15.75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71"/>
      <c r="AJ964" s="71"/>
      <c r="AK964" s="71"/>
      <c r="AL964" s="71"/>
      <c r="AM964" s="71"/>
      <c r="AN964" s="71"/>
      <c r="AO964" s="71"/>
      <c r="AP964" s="71"/>
      <c r="AQ964" s="71"/>
      <c r="AR964" s="71"/>
    </row>
    <row r="965" ht="15.75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71"/>
      <c r="AJ965" s="71"/>
      <c r="AK965" s="71"/>
      <c r="AL965" s="71"/>
      <c r="AM965" s="71"/>
      <c r="AN965" s="71"/>
      <c r="AO965" s="71"/>
      <c r="AP965" s="71"/>
      <c r="AQ965" s="71"/>
      <c r="AR965" s="71"/>
    </row>
    <row r="966" ht="15.75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71"/>
      <c r="AJ966" s="71"/>
      <c r="AK966" s="71"/>
      <c r="AL966" s="71"/>
      <c r="AM966" s="71"/>
      <c r="AN966" s="71"/>
      <c r="AO966" s="71"/>
      <c r="AP966" s="71"/>
      <c r="AQ966" s="71"/>
      <c r="AR966" s="71"/>
    </row>
    <row r="967" ht="15.75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71"/>
      <c r="AJ967" s="71"/>
      <c r="AK967" s="71"/>
      <c r="AL967" s="71"/>
      <c r="AM967" s="71"/>
      <c r="AN967" s="71"/>
      <c r="AO967" s="71"/>
      <c r="AP967" s="71"/>
      <c r="AQ967" s="71"/>
      <c r="AR967" s="71"/>
    </row>
    <row r="968" ht="15.75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71"/>
      <c r="AJ968" s="71"/>
      <c r="AK968" s="71"/>
      <c r="AL968" s="71"/>
      <c r="AM968" s="71"/>
      <c r="AN968" s="71"/>
      <c r="AO968" s="71"/>
      <c r="AP968" s="71"/>
      <c r="AQ968" s="71"/>
      <c r="AR968" s="71"/>
    </row>
    <row r="969" ht="15.75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71"/>
      <c r="AJ969" s="71"/>
      <c r="AK969" s="71"/>
      <c r="AL969" s="71"/>
      <c r="AM969" s="71"/>
      <c r="AN969" s="71"/>
      <c r="AO969" s="71"/>
      <c r="AP969" s="71"/>
      <c r="AQ969" s="71"/>
      <c r="AR969" s="71"/>
    </row>
    <row r="970" ht="15.75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71"/>
      <c r="AJ970" s="71"/>
      <c r="AK970" s="71"/>
      <c r="AL970" s="71"/>
      <c r="AM970" s="71"/>
      <c r="AN970" s="71"/>
      <c r="AO970" s="71"/>
      <c r="AP970" s="71"/>
      <c r="AQ970" s="71"/>
      <c r="AR970" s="71"/>
    </row>
    <row r="971" ht="15.75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71"/>
      <c r="AJ971" s="71"/>
      <c r="AK971" s="71"/>
      <c r="AL971" s="71"/>
      <c r="AM971" s="71"/>
      <c r="AN971" s="71"/>
      <c r="AO971" s="71"/>
      <c r="AP971" s="71"/>
      <c r="AQ971" s="71"/>
      <c r="AR971" s="71"/>
    </row>
    <row r="972" ht="15.75" customHeight="1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71"/>
      <c r="AJ972" s="71"/>
      <c r="AK972" s="71"/>
      <c r="AL972" s="71"/>
      <c r="AM972" s="71"/>
      <c r="AN972" s="71"/>
      <c r="AO972" s="71"/>
      <c r="AP972" s="71"/>
      <c r="AQ972" s="71"/>
      <c r="AR972" s="71"/>
    </row>
    <row r="973" ht="15.75" customHeight="1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71"/>
      <c r="AJ973" s="71"/>
      <c r="AK973" s="71"/>
      <c r="AL973" s="71"/>
      <c r="AM973" s="71"/>
      <c r="AN973" s="71"/>
      <c r="AO973" s="71"/>
      <c r="AP973" s="71"/>
      <c r="AQ973" s="71"/>
      <c r="AR973" s="71"/>
    </row>
    <row r="974" ht="15.75" customHeight="1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71"/>
      <c r="AJ974" s="71"/>
      <c r="AK974" s="71"/>
      <c r="AL974" s="71"/>
      <c r="AM974" s="71"/>
      <c r="AN974" s="71"/>
      <c r="AO974" s="71"/>
      <c r="AP974" s="71"/>
      <c r="AQ974" s="71"/>
      <c r="AR974" s="71"/>
    </row>
    <row r="975" ht="15.75" customHeight="1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71"/>
      <c r="AJ975" s="71"/>
      <c r="AK975" s="71"/>
      <c r="AL975" s="71"/>
      <c r="AM975" s="71"/>
      <c r="AN975" s="71"/>
      <c r="AO975" s="71"/>
      <c r="AP975" s="71"/>
      <c r="AQ975" s="71"/>
      <c r="AR975" s="71"/>
    </row>
    <row r="976" ht="15.75" customHeight="1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71"/>
      <c r="AJ976" s="71"/>
      <c r="AK976" s="71"/>
      <c r="AL976" s="71"/>
      <c r="AM976" s="71"/>
      <c r="AN976" s="71"/>
      <c r="AO976" s="71"/>
      <c r="AP976" s="71"/>
      <c r="AQ976" s="71"/>
      <c r="AR976" s="71"/>
    </row>
    <row r="977" ht="15.75" customHeight="1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71"/>
      <c r="AJ977" s="71"/>
      <c r="AK977" s="71"/>
      <c r="AL977" s="71"/>
      <c r="AM977" s="71"/>
      <c r="AN977" s="71"/>
      <c r="AO977" s="71"/>
      <c r="AP977" s="71"/>
      <c r="AQ977" s="71"/>
      <c r="AR977" s="71"/>
    </row>
    <row r="978" ht="15.75" customHeight="1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71"/>
      <c r="AJ978" s="71"/>
      <c r="AK978" s="71"/>
      <c r="AL978" s="71"/>
      <c r="AM978" s="71"/>
      <c r="AN978" s="71"/>
      <c r="AO978" s="71"/>
      <c r="AP978" s="71"/>
      <c r="AQ978" s="71"/>
      <c r="AR978" s="71"/>
    </row>
    <row r="979" ht="15.75" customHeight="1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71"/>
      <c r="AJ979" s="71"/>
      <c r="AK979" s="71"/>
      <c r="AL979" s="71"/>
      <c r="AM979" s="71"/>
      <c r="AN979" s="71"/>
      <c r="AO979" s="71"/>
      <c r="AP979" s="71"/>
      <c r="AQ979" s="71"/>
      <c r="AR979" s="71"/>
    </row>
    <row r="980" ht="15.75" customHeight="1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71"/>
      <c r="AJ980" s="71"/>
      <c r="AK980" s="71"/>
      <c r="AL980" s="71"/>
      <c r="AM980" s="71"/>
      <c r="AN980" s="71"/>
      <c r="AO980" s="71"/>
      <c r="AP980" s="71"/>
      <c r="AQ980" s="71"/>
      <c r="AR980" s="71"/>
    </row>
    <row r="981" ht="15.75" customHeight="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71"/>
      <c r="AJ981" s="71"/>
      <c r="AK981" s="71"/>
      <c r="AL981" s="71"/>
      <c r="AM981" s="71"/>
      <c r="AN981" s="71"/>
      <c r="AO981" s="71"/>
      <c r="AP981" s="71"/>
      <c r="AQ981" s="71"/>
      <c r="AR981" s="71"/>
    </row>
    <row r="982" ht="15.75" customHeight="1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71"/>
      <c r="AJ982" s="71"/>
      <c r="AK982" s="71"/>
      <c r="AL982" s="71"/>
      <c r="AM982" s="71"/>
      <c r="AN982" s="71"/>
      <c r="AO982" s="71"/>
      <c r="AP982" s="71"/>
      <c r="AQ982" s="71"/>
      <c r="AR982" s="71"/>
    </row>
    <row r="983" ht="15.75" customHeight="1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71"/>
      <c r="AJ983" s="71"/>
      <c r="AK983" s="71"/>
      <c r="AL983" s="71"/>
      <c r="AM983" s="71"/>
      <c r="AN983" s="71"/>
      <c r="AO983" s="71"/>
      <c r="AP983" s="71"/>
      <c r="AQ983" s="71"/>
      <c r="AR983" s="71"/>
    </row>
    <row r="984" ht="15.75" customHeight="1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71"/>
      <c r="AJ984" s="71"/>
      <c r="AK984" s="71"/>
      <c r="AL984" s="71"/>
      <c r="AM984" s="71"/>
      <c r="AN984" s="71"/>
      <c r="AO984" s="71"/>
      <c r="AP984" s="71"/>
      <c r="AQ984" s="71"/>
      <c r="AR984" s="71"/>
    </row>
    <row r="985" ht="15.75" customHeight="1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71"/>
      <c r="AJ985" s="71"/>
      <c r="AK985" s="71"/>
      <c r="AL985" s="71"/>
      <c r="AM985" s="71"/>
      <c r="AN985" s="71"/>
      <c r="AO985" s="71"/>
      <c r="AP985" s="71"/>
      <c r="AQ985" s="71"/>
      <c r="AR985" s="71"/>
    </row>
    <row r="986" ht="15.75" customHeight="1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71"/>
      <c r="AJ986" s="71"/>
      <c r="AK986" s="71"/>
      <c r="AL986" s="71"/>
      <c r="AM986" s="71"/>
      <c r="AN986" s="71"/>
      <c r="AO986" s="71"/>
      <c r="AP986" s="71"/>
      <c r="AQ986" s="71"/>
      <c r="AR986" s="71"/>
    </row>
    <row r="987" ht="15.75" customHeight="1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71"/>
      <c r="AJ987" s="71"/>
      <c r="AK987" s="71"/>
      <c r="AL987" s="71"/>
      <c r="AM987" s="71"/>
      <c r="AN987" s="71"/>
      <c r="AO987" s="71"/>
      <c r="AP987" s="71"/>
      <c r="AQ987" s="71"/>
      <c r="AR987" s="71"/>
    </row>
    <row r="988" ht="15.75" customHeight="1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71"/>
      <c r="AJ988" s="71"/>
      <c r="AK988" s="71"/>
      <c r="AL988" s="71"/>
      <c r="AM988" s="71"/>
      <c r="AN988" s="71"/>
      <c r="AO988" s="71"/>
      <c r="AP988" s="71"/>
      <c r="AQ988" s="71"/>
      <c r="AR988" s="71"/>
    </row>
    <row r="989" ht="15.75" customHeight="1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71"/>
      <c r="AJ989" s="71"/>
      <c r="AK989" s="71"/>
      <c r="AL989" s="71"/>
      <c r="AM989" s="71"/>
      <c r="AN989" s="71"/>
      <c r="AO989" s="71"/>
      <c r="AP989" s="71"/>
      <c r="AQ989" s="71"/>
      <c r="AR989" s="71"/>
    </row>
    <row r="990" ht="15.75" customHeight="1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71"/>
      <c r="AJ990" s="71"/>
      <c r="AK990" s="71"/>
      <c r="AL990" s="71"/>
      <c r="AM990" s="71"/>
      <c r="AN990" s="71"/>
      <c r="AO990" s="71"/>
      <c r="AP990" s="71"/>
      <c r="AQ990" s="71"/>
      <c r="AR990" s="71"/>
    </row>
    <row r="991" ht="15.75" customHeight="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71"/>
      <c r="AJ991" s="71"/>
      <c r="AK991" s="71"/>
      <c r="AL991" s="71"/>
      <c r="AM991" s="71"/>
      <c r="AN991" s="71"/>
      <c r="AO991" s="71"/>
      <c r="AP991" s="71"/>
      <c r="AQ991" s="71"/>
      <c r="AR991" s="71"/>
    </row>
    <row r="992" ht="15.75" customHeight="1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71"/>
      <c r="AJ992" s="71"/>
      <c r="AK992" s="71"/>
      <c r="AL992" s="71"/>
      <c r="AM992" s="71"/>
      <c r="AN992" s="71"/>
      <c r="AO992" s="71"/>
      <c r="AP992" s="71"/>
      <c r="AQ992" s="71"/>
      <c r="AR992" s="71"/>
    </row>
    <row r="993" ht="15.75" customHeight="1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71"/>
      <c r="AJ993" s="71"/>
      <c r="AK993" s="71"/>
      <c r="AL993" s="71"/>
      <c r="AM993" s="71"/>
      <c r="AN993" s="71"/>
      <c r="AO993" s="71"/>
      <c r="AP993" s="71"/>
      <c r="AQ993" s="71"/>
      <c r="AR993" s="71"/>
    </row>
    <row r="994" ht="15.75" customHeight="1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71"/>
      <c r="AJ994" s="71"/>
      <c r="AK994" s="71"/>
      <c r="AL994" s="71"/>
      <c r="AM994" s="71"/>
      <c r="AN994" s="71"/>
      <c r="AO994" s="71"/>
      <c r="AP994" s="71"/>
      <c r="AQ994" s="71"/>
      <c r="AR994" s="71"/>
    </row>
    <row r="995" ht="15.75" customHeight="1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71"/>
      <c r="AJ995" s="71"/>
      <c r="AK995" s="71"/>
      <c r="AL995" s="71"/>
      <c r="AM995" s="71"/>
      <c r="AN995" s="71"/>
      <c r="AO995" s="71"/>
      <c r="AP995" s="71"/>
      <c r="AQ995" s="71"/>
      <c r="AR995" s="71"/>
    </row>
    <row r="996" ht="15.75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71"/>
      <c r="AJ996" s="71"/>
      <c r="AK996" s="71"/>
      <c r="AL996" s="71"/>
      <c r="AM996" s="71"/>
      <c r="AN996" s="71"/>
      <c r="AO996" s="71"/>
      <c r="AP996" s="71"/>
      <c r="AQ996" s="71"/>
      <c r="AR996" s="71"/>
    </row>
    <row r="997" ht="15.75" customHeight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71"/>
      <c r="AJ997" s="71"/>
      <c r="AK997" s="71"/>
      <c r="AL997" s="71"/>
      <c r="AM997" s="71"/>
      <c r="AN997" s="71"/>
      <c r="AO997" s="71"/>
      <c r="AP997" s="71"/>
      <c r="AQ997" s="71"/>
      <c r="AR997" s="71"/>
    </row>
    <row r="998" ht="15.75" customHeight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71"/>
      <c r="AJ998" s="71"/>
      <c r="AK998" s="71"/>
      <c r="AL998" s="71"/>
      <c r="AM998" s="71"/>
      <c r="AN998" s="71"/>
      <c r="AO998" s="71"/>
      <c r="AP998" s="71"/>
      <c r="AQ998" s="71"/>
      <c r="AR998" s="71"/>
    </row>
    <row r="999" ht="15.75" customHeight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71"/>
      <c r="AJ999" s="71"/>
      <c r="AK999" s="71"/>
      <c r="AL999" s="71"/>
      <c r="AM999" s="71"/>
      <c r="AN999" s="71"/>
      <c r="AO999" s="71"/>
      <c r="AP999" s="71"/>
      <c r="AQ999" s="71"/>
      <c r="AR999" s="71"/>
    </row>
    <row r="1000" ht="15.75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71"/>
      <c r="AJ1000" s="71"/>
      <c r="AK1000" s="71"/>
      <c r="AL1000" s="71"/>
      <c r="AM1000" s="71"/>
      <c r="AN1000" s="71"/>
      <c r="AO1000" s="71"/>
      <c r="AP1000" s="71"/>
      <c r="AQ1000" s="71"/>
      <c r="AR1000" s="71"/>
    </row>
  </sheetData>
  <mergeCells count="7">
    <mergeCell ref="A1:L1"/>
    <mergeCell ref="M1:P1"/>
    <mergeCell ref="T1:AA1"/>
    <mergeCell ref="AB1:AH1"/>
    <mergeCell ref="AI1:AJ1"/>
    <mergeCell ref="AK1:AL1"/>
    <mergeCell ref="AM1:AR1"/>
  </mergeCells>
  <conditionalFormatting sqref="AR3:AR15">
    <cfRule type="colorScale" priority="1">
      <colorScale>
        <cfvo type="min"/>
        <cfvo type="percentile" val="50"/>
        <cfvo type="max"/>
        <color rgb="FFF8D7DA"/>
        <color rgb="FFFFF3CD"/>
        <color rgb="FFD1E7DD"/>
      </colorScale>
    </cfRule>
  </conditionalFormatting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0.0"/>
    <col customWidth="1" min="2" max="2" width="16.0"/>
    <col customWidth="1" min="3" max="3" width="42.0"/>
    <col customWidth="1" min="4" max="6" width="8.63"/>
  </cols>
  <sheetData>
    <row r="1" ht="31.5" customHeight="1">
      <c r="A1" s="1" t="s">
        <v>0</v>
      </c>
      <c r="B1" s="2"/>
      <c r="C1" s="3"/>
    </row>
    <row r="2" ht="14.25" customHeight="1">
      <c r="A2" s="4"/>
      <c r="B2" s="4"/>
      <c r="C2" s="4"/>
    </row>
    <row r="3" ht="14.25" customHeight="1">
      <c r="A3" s="5" t="s">
        <v>1</v>
      </c>
      <c r="B3" s="5" t="s">
        <v>2</v>
      </c>
      <c r="C3" s="5" t="s">
        <v>3</v>
      </c>
    </row>
    <row r="4" ht="14.25" customHeight="1">
      <c r="A4" s="6" t="s">
        <v>4</v>
      </c>
      <c r="B4" s="7">
        <v>1150.0</v>
      </c>
      <c r="C4" s="8" t="s">
        <v>5</v>
      </c>
    </row>
    <row r="5" ht="14.25" customHeight="1">
      <c r="A5" s="9" t="s">
        <v>6</v>
      </c>
      <c r="B5" s="10">
        <v>50.0</v>
      </c>
      <c r="C5" s="8" t="s">
        <v>7</v>
      </c>
    </row>
    <row r="6" ht="14.25" customHeight="1">
      <c r="A6" s="9" t="s">
        <v>8</v>
      </c>
      <c r="B6" s="10">
        <v>0.55</v>
      </c>
      <c r="C6" s="8" t="s">
        <v>9</v>
      </c>
    </row>
    <row r="7" ht="14.25" customHeight="1">
      <c r="A7" s="9" t="s">
        <v>10</v>
      </c>
      <c r="B7" s="10">
        <v>0.45</v>
      </c>
      <c r="C7" s="8" t="s">
        <v>11</v>
      </c>
    </row>
    <row r="8" ht="14.25" customHeight="1">
      <c r="A8" s="9" t="s">
        <v>12</v>
      </c>
      <c r="B8" s="11">
        <v>0.15</v>
      </c>
      <c r="C8" s="8" t="s">
        <v>11</v>
      </c>
    </row>
    <row r="9" ht="14.25" customHeight="1">
      <c r="A9" s="8"/>
      <c r="B9" s="8"/>
      <c r="C9" s="8"/>
    </row>
    <row r="10" ht="14.25" customHeight="1">
      <c r="A10" s="12" t="s">
        <v>13</v>
      </c>
      <c r="B10" s="13"/>
      <c r="C10" s="14"/>
    </row>
    <row r="11" ht="14.25" customHeight="1">
      <c r="A11" s="8"/>
      <c r="B11" s="8"/>
      <c r="C11" s="8"/>
    </row>
    <row r="12" ht="14.25" customHeight="1">
      <c r="A12" s="15" t="s">
        <v>14</v>
      </c>
      <c r="B12" s="15" t="s">
        <v>15</v>
      </c>
      <c r="C12" s="15" t="s">
        <v>16</v>
      </c>
    </row>
    <row r="13" ht="14.25" customHeight="1">
      <c r="A13" s="16">
        <v>25.0</v>
      </c>
      <c r="B13" s="17">
        <v>0.3</v>
      </c>
      <c r="C13" s="16" t="s">
        <v>17</v>
      </c>
    </row>
    <row r="14" ht="14.25" customHeight="1">
      <c r="A14" s="16">
        <v>75.0</v>
      </c>
      <c r="B14" s="17">
        <v>0.3</v>
      </c>
      <c r="C14" s="16" t="s">
        <v>17</v>
      </c>
    </row>
    <row r="15" ht="14.25" customHeight="1">
      <c r="A15" s="16">
        <v>150.0</v>
      </c>
      <c r="B15" s="17">
        <v>0.25</v>
      </c>
      <c r="C15" s="16" t="s">
        <v>18</v>
      </c>
    </row>
    <row r="16" ht="14.25" customHeight="1">
      <c r="A16" s="16">
        <v>250.0</v>
      </c>
      <c r="B16" s="17">
        <v>0.15</v>
      </c>
      <c r="C16" s="16" t="s">
        <v>19</v>
      </c>
    </row>
    <row r="17" ht="14.25" customHeight="1">
      <c r="A17" s="18">
        <v>0.0</v>
      </c>
      <c r="B17" s="19">
        <v>0.0</v>
      </c>
      <c r="C17" s="16" t="s">
        <v>20</v>
      </c>
    </row>
    <row r="18" ht="14.25" customHeight="1">
      <c r="A18" s="18">
        <v>0.0</v>
      </c>
      <c r="B18" s="19">
        <v>0.0</v>
      </c>
      <c r="C18" s="16" t="s">
        <v>21</v>
      </c>
    </row>
    <row r="19" ht="14.25" customHeight="1">
      <c r="A19" s="18">
        <v>0.0</v>
      </c>
      <c r="B19" s="19">
        <v>0.0</v>
      </c>
      <c r="C19" s="16" t="s">
        <v>22</v>
      </c>
    </row>
    <row r="20" ht="14.25" customHeight="1">
      <c r="A20" s="16" t="s">
        <v>23</v>
      </c>
      <c r="B20" s="19">
        <f>SUM(B13:B19)</f>
        <v>1</v>
      </c>
      <c r="C20" s="16"/>
    </row>
    <row r="21" ht="14.25" customHeight="1">
      <c r="A21" s="8"/>
      <c r="B21" s="8"/>
      <c r="C21" s="8"/>
    </row>
    <row r="22" ht="14.25" customHeight="1">
      <c r="A22" s="12" t="s">
        <v>25</v>
      </c>
      <c r="B22" s="13"/>
      <c r="C22" s="14"/>
    </row>
    <row r="23" ht="14.25" customHeight="1">
      <c r="A23" s="15" t="s">
        <v>26</v>
      </c>
      <c r="B23" s="15" t="s">
        <v>15</v>
      </c>
      <c r="C23" s="15" t="s">
        <v>28</v>
      </c>
    </row>
    <row r="24" ht="14.25" customHeight="1">
      <c r="A24" s="16" t="s">
        <v>29</v>
      </c>
      <c r="B24" s="21">
        <v>1.0</v>
      </c>
      <c r="C24" s="16" t="s">
        <v>11</v>
      </c>
    </row>
    <row r="25" ht="14.25" customHeight="1">
      <c r="A25" s="16" t="s">
        <v>30</v>
      </c>
      <c r="B25" s="21">
        <v>-20.0</v>
      </c>
      <c r="C25" s="16" t="s">
        <v>9</v>
      </c>
    </row>
    <row r="26" ht="14.25" customHeight="1">
      <c r="A26" s="16" t="s">
        <v>31</v>
      </c>
      <c r="B26" s="21">
        <v>-0.8</v>
      </c>
      <c r="C26" s="16" t="s">
        <v>9</v>
      </c>
    </row>
    <row r="27" ht="14.25" customHeight="1">
      <c r="A27" s="16" t="s">
        <v>32</v>
      </c>
      <c r="B27" s="21">
        <v>-0.6</v>
      </c>
      <c r="C27" s="16" t="s">
        <v>9</v>
      </c>
    </row>
    <row r="28" ht="14.25" customHeight="1">
      <c r="A28" s="16" t="s">
        <v>33</v>
      </c>
      <c r="B28" s="21">
        <v>-10.0</v>
      </c>
      <c r="C28" s="16" t="s">
        <v>9</v>
      </c>
    </row>
    <row r="29" ht="14.25" customHeight="1">
      <c r="A29" s="16" t="s">
        <v>34</v>
      </c>
      <c r="B29" s="21">
        <v>10.0</v>
      </c>
      <c r="C29" s="16" t="s">
        <v>35</v>
      </c>
    </row>
    <row r="30" ht="14.25" customHeight="1">
      <c r="A30" s="16" t="s">
        <v>36</v>
      </c>
      <c r="B30" s="24">
        <v>0.005</v>
      </c>
      <c r="C30" s="16" t="str">
        <f>_xludf.CONCAT("1 point per +", 1/B30, " vel")</f>
        <v>#NAME?</v>
      </c>
    </row>
    <row r="31" ht="14.25" customHeight="1">
      <c r="A31" s="16" t="s">
        <v>40</v>
      </c>
      <c r="B31" s="21">
        <v>10.0</v>
      </c>
      <c r="C31" s="16" t="s">
        <v>35</v>
      </c>
    </row>
    <row r="32" ht="14.25" customHeight="1">
      <c r="A32" s="18" t="s">
        <v>42</v>
      </c>
      <c r="B32" s="28">
        <v>-5.0</v>
      </c>
      <c r="C32" s="16"/>
    </row>
    <row r="33" ht="14.25" customHeight="1">
      <c r="A33" s="16" t="s">
        <v>43</v>
      </c>
      <c r="B33" s="21">
        <v>0.0</v>
      </c>
      <c r="C33" s="16" t="s">
        <v>45</v>
      </c>
    </row>
    <row r="34" ht="14.25" customHeight="1">
      <c r="A34" s="8"/>
      <c r="B34" s="30"/>
      <c r="C34" s="8"/>
    </row>
    <row r="35" ht="14.25" customHeight="1">
      <c r="A35" s="12" t="s">
        <v>46</v>
      </c>
      <c r="B35" s="13"/>
      <c r="C35" s="14"/>
    </row>
    <row r="36" ht="14.25" customHeight="1">
      <c r="A36" s="31" t="s">
        <v>48</v>
      </c>
      <c r="B36" s="32">
        <v>1.5</v>
      </c>
      <c r="C36" s="31" t="s">
        <v>49</v>
      </c>
    </row>
    <row r="37" ht="14.25" customHeight="1">
      <c r="A37" s="31" t="s">
        <v>50</v>
      </c>
      <c r="B37" s="32">
        <v>-2.0</v>
      </c>
      <c r="C37" s="31" t="s">
        <v>51</v>
      </c>
    </row>
    <row r="38" ht="14.25" customHeight="1">
      <c r="A38" s="31" t="s">
        <v>52</v>
      </c>
      <c r="B38" s="32">
        <v>3.0</v>
      </c>
      <c r="C38" s="31" t="s">
        <v>53</v>
      </c>
    </row>
    <row r="39" ht="14.25" customHeight="1">
      <c r="A39" s="34" t="s">
        <v>54</v>
      </c>
      <c r="B39" s="35">
        <v>4.0</v>
      </c>
      <c r="C39" s="34" t="s">
        <v>53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A10:C10"/>
    <mergeCell ref="A22:C22"/>
    <mergeCell ref="A35:C35"/>
  </mergeCells>
  <printOptions/>
  <pageMargins bottom="0.75" footer="0.0" header="0.0" left="0.7" right="0.7" top="0.75"/>
  <pageSetup orientation="landscape"/>
  <drawing r:id="rId2"/>
  <legacyDrawing r:id="rId3"/>
</worksheet>
</file>