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0mm-ammo" sheetId="1" r:id="rId5"/>
    <sheet state="visible" name="Model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authorId="0" ref="AJ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  <comment authorId="0" ref="G15">
      <text>
        <t xml:space="preserve">tracer "logic" we gotta undo this at some point</t>
      </text>
    </comment>
    <comment authorId="0" ref="G14">
      <text>
        <t xml:space="preserve">fyi all the frangibles ignore realism, they're accurate low dmg bullets ingame but irl they're inaccurate AND low damage, given they're effectively just powder</t>
      </text>
    </comment>
    <comment authorId="0" ref="M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<sst xmlns="http://schemas.openxmlformats.org/spreadsheetml/2006/main" count="160" uniqueCount="112">
  <si>
    <t>10mm ammo scoring model</t>
  </si>
  <si>
    <t>Assumption</t>
  </si>
  <si>
    <t>Value</t>
  </si>
  <si>
    <t>Purpose</t>
  </si>
  <si>
    <t>glock base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</si>
  <si>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</si>
  <si>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</si>
  <si>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</si>
  <si>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</si>
  <si>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</si>
  <si>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</si>
  <si>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</si>
  <si>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</si>
  <si>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</si>
  <si>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</si>
  <si>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</si>
  <si>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</si>
  <si>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</si>
  <si>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</si>
  <si>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</si>
  <si>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</si>
  <si>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</si>
  <si>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</si>
  <si>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</si>
  <si>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inputs</t>
  </si>
  <si>
    <t>balancing.csv stat weights</t>
  </si>
  <si>
    <t>Stat</t>
  </si>
  <si>
    <t>calibers.csv damage inputs</t>
  </si>
  <si>
    <t>Interpretation</t>
  </si>
  <si>
    <t>ergonomics</t>
  </si>
  <si>
    <t>weight</t>
  </si>
  <si>
    <t>horizontal_recoil</t>
  </si>
  <si>
    <t>vertical_recoil</t>
  </si>
  <si>
    <t>barrel_deviation</t>
  </si>
  <si>
    <t>bullet_damage</t>
  </si>
  <si>
    <t>fractional modifier</t>
  </si>
  <si>
    <t>bullet_velocity</t>
  </si>
  <si>
    <t>calculated torso damage by range</t>
  </si>
  <si>
    <t>calibers.csv traits &amp; penetration inputs</t>
  </si>
  <si>
    <t>penetration model</t>
  </si>
  <si>
    <t>fire_rate</t>
  </si>
  <si>
    <t>source audit</t>
  </si>
  <si>
    <t>muzzle_loudness</t>
  </si>
  <si>
    <t>price</t>
  </si>
  <si>
    <t>weighted score</t>
  </si>
  <si>
    <t>excluded from performance strength</t>
  </si>
  <si>
    <t>Ammo-specific metric weights</t>
  </si>
  <si>
    <t>name</t>
  </si>
  <si>
    <t>weighted_damage</t>
  </si>
  <si>
    <t>points per damage above reference</t>
  </si>
  <si>
    <t>velocity_drop</t>
  </si>
  <si>
    <t>small effect; lower is better</t>
  </si>
  <si>
    <t>suppression</t>
  </si>
  <si>
    <t>moderate effect; higher is better</t>
  </si>
  <si>
    <t>penetration</t>
  </si>
  <si>
    <t>pretty_name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</si>
  <si>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</si>
  <si>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</si>
  <si>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</si>
  <si>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</si>
  <si>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</si>
  <si>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</si>
  <si>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</si>
  <si>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</si>
  <si>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</si>
  <si>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</si>
  <si>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</si>
  <si>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</si>
  <si>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</si>
  <si>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</si>
  <si>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</si>
  <si>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</si>
  <si>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</si>
  <si>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</si>
  <si>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</si>
  <si>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</si>
  <si>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</si>
  <si>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</si>
  <si>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</si>
  <si>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</si>
  <si>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</si>
  <si>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</si>
  <si>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</si>
  <si>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</si>
  <si>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10mm_roosevelt_umc_180gr_fmj</t>
  </si>
  <si>
    <t>10mm Roosevelt UMC 180gr FMJ</t>
  </si>
  <si>
    <t>idfk lol</t>
  </si>
  <si>
    <t>calibers.csv</t>
  </si>
  <si>
    <t>10mm_phoenix_aluminum_200gr_fmj</t>
  </si>
  <si>
    <t>10mm Phoenix Aluminum 200gr FMJ</t>
  </si>
  <si>
    <t>10mm_appalachian_silvertip_175gr_jhp</t>
  </si>
  <si>
    <t>10mm Appalachian Silvertip 175gr JHP</t>
  </si>
  <si>
    <t>10mm_freedom_civil_defense_60gr_hplf</t>
  </si>
  <si>
    <t>10mm Freedom Civil Defense 60gr HPLF</t>
  </si>
  <si>
    <t>10mm_federal_fusion_200gr_bsp</t>
  </si>
  <si>
    <t xml:space="preserve">10mm Federal Fusion 200gr BSP </t>
  </si>
  <si>
    <t>10mm_polar_cartridge_220gr_hcfp</t>
  </si>
  <si>
    <t>10mm Polar Cartridge 220gr HCFP</t>
  </si>
  <si>
    <t>10mm_copperhead_honey_badger_115gr_ehp</t>
  </si>
  <si>
    <t>10mm Copperhead Honey Badger 115gr EHP</t>
  </si>
  <si>
    <t>10mm_federal_hst_175gr_jhp</t>
  </si>
  <si>
    <t>10mm Federal HST 200gr JHP</t>
  </si>
  <si>
    <t>10mm_underworld_xtp_180gr_jhp</t>
  </si>
  <si>
    <t>10mm Underworld 180gr XTP JHP</t>
  </si>
  <si>
    <t>10mm_chicago_ammunition_220gr_rnfp</t>
  </si>
  <si>
    <t>10mm Chicago Ammunition 220gr RNFP</t>
  </si>
  <si>
    <t>10mm_hawthorne_flexlock_critical_duty_175gr_jhp_ft</t>
  </si>
  <si>
    <t>10mm Hawthorne FlexLock Critical Duty 175gr JHP-FT</t>
  </si>
  <si>
    <t>10mm_federal_premium_125gr_rht</t>
  </si>
  <si>
    <t>10mm Federal Premium 125gr RHT</t>
  </si>
  <si>
    <t>10mm_roosevelt_trailblazer_135gr_green_tracer</t>
  </si>
  <si>
    <t>10mm Roosevelt Trailblazer 135gr Green Tracer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</si>
</sst>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00"/>
    <numFmt numFmtId="166" formatCode="0.0000"/>
  </numFmts>
  <fonts count="13">
    <font>
      <sz val="11.0"/>
      <color rgb="FF000000"/>
      <name val="Carlito"/>
      <scheme val="minor"/>
    </font>
    <font>
      <b/>
      <sz val="16.0"/>
      <color rgb="FFFFFFFF"/>
      <name val="Play"/>
    </font>
    <font/>
    <font>
      <sz val="10.0"/>
      <color rgb="FF1F2933"/>
      <name val="Aptos"/>
    </font>
    <font>
      <b/>
      <sz val="10.0"/>
      <color rgb="FFFFFFFF"/>
      <name val="Aptos"/>
    </font>
    <font>
      <sz val="10.0"/>
      <color rgb="FF1F2933"/>
      <name val="Arial"/>
    </font>
    <font>
      <b/>
      <sz val="10.0"/>
      <color rgb="FFFFFFFF"/>
      <name val="Carlito"/>
    </font>
    <font>
      <b/>
      <sz val="9.0"/>
      <color rgb="FFFFFFFF"/>
      <name val="Carlito"/>
    </font>
    <font>
      <sz val="10.0"/>
      <color theme="1"/>
      <name val="Carlito"/>
      <scheme val="minor"/>
    </font>
    <font>
      <sz val="10.0"/>
      <color rgb="FF1F2933"/>
      <name val="Carlito"/>
    </font>
    <font>
      <sz val="10.0"/>
      <color rgb="FFFF0000"/>
      <name val="Carlito"/>
    </font>
    <font>
      <sz val="10.0"/>
      <color rgb="FF1F2933"/>
      <name val="Carlito"/>
      <scheme val="minor"/>
    </font>
    <font>
      <color theme="1"/>
      <name val="Carlito"/>
    </font>
  </fonts>
  <fills count="15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2F6B9A"/>
        <bgColor rgb="FF2F6B9A"/>
      </patternFill>
    </fill>
    <fill>
      <patternFill patternType="solid">
        <fgColor rgb="FFEAF3F8"/>
        <bgColor rgb="FFEAF3F8"/>
      </patternFill>
    </fill>
    <fill>
      <patternFill patternType="solid">
        <fgColor rgb="FF684A86"/>
        <bgColor rgb="FF684A86"/>
      </patternFill>
    </fill>
    <fill>
      <patternFill patternType="solid">
        <fgColor rgb="FFF5F7F9"/>
        <bgColor rgb="FFF5F7F9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F1ECF7"/>
        <bgColor rgb="FFF1ECF7"/>
      </patternFill>
    </fill>
    <fill>
      <patternFill patternType="solid">
        <fgColor rgb="FFFFF2CC"/>
        <bgColor rgb="FFFFF2CC"/>
      </patternFill>
    </fill>
    <fill>
      <patternFill patternType="solid">
        <fgColor rgb="FFEDF7EE"/>
        <bgColor rgb="FFEDF7EE"/>
      </patternFill>
    </fill>
    <fill>
      <patternFill patternType="solid">
        <fgColor rgb="FFFFF5D9"/>
        <bgColor rgb="FFFFF5D9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D8E0E7"/>
      </bottom>
    </border>
    <border>
      <left/>
      <right/>
      <top style="thin">
        <color rgb="FFD8E0E7"/>
      </top>
      <bottom style="thin">
        <color rgb="FFD8E0E7"/>
      </bottom>
    </border>
    <border>
      <top style="thin">
        <color rgb="FFD8E0E7"/>
      </top>
      <bottom style="thin">
        <color rgb="FFD8E0E7"/>
      </bottom>
    </border>
    <border>
      <left/>
      <top style="thin">
        <color rgb="FFD8E0E7"/>
      </top>
      <bottom style="thin">
        <color rgb="FFD8E0E7"/>
      </bottom>
    </border>
    <border>
      <right/>
      <top style="thin">
        <color rgb="FFD8E0E7"/>
      </top>
      <bottom style="thin">
        <color rgb="FFD8E0E7"/>
      </bottom>
    </border>
    <border>
      <left/>
      <right/>
      <top/>
      <bottom/>
    </border>
    <border>
      <left/>
      <right/>
      <top style="thin">
        <color rgb="FFD8E0E7"/>
      </top>
      <bottom/>
    </border>
    <border>
      <left/>
      <right/>
      <top style="thin">
        <color rgb="FFD8E0E7"/>
      </top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3" fontId="4" numFmtId="0" xfId="0" applyAlignment="1" applyBorder="1" applyFill="1" applyFont="1">
      <alignment horizontal="center"/>
    </xf>
    <xf borderId="5" fillId="4" fontId="5" numFmtId="0" xfId="0" applyBorder="1" applyFill="1" applyFont="1"/>
    <xf borderId="5" fillId="4" fontId="5" numFmtId="3" xfId="0" applyAlignment="1" applyBorder="1" applyFill="1" applyFont="1" applyNumberFormat="1">
      <alignment readingOrder="0"/>
    </xf>
    <xf borderId="6" fillId="0" fontId="3" numFmtId="0" xfId="0" applyBorder="1" applyFont="1"/>
    <xf borderId="5" fillId="4" fontId="3" numFmtId="0" xfId="0" applyBorder="1" applyFill="1" applyFont="1"/>
    <xf borderId="5" fillId="4" fontId="5" numFmtId="2" xfId="0" applyAlignment="1" applyBorder="1" applyFill="1" applyFont="1" applyNumberFormat="1">
      <alignment readingOrder="0"/>
    </xf>
    <xf borderId="5" fillId="4" fontId="3" numFmtId="2" xfId="0" applyBorder="1" applyFill="1" applyFont="1" applyNumberFormat="1"/>
    <xf borderId="7" fillId="5" fontId="4" numFmtId="0" xfId="0" applyBorder="1" applyFill="1" applyFont="1"/>
    <xf borderId="6" fillId="0" fontId="2" numFmtId="0" xfId="0" applyBorder="1" applyFont="1"/>
    <xf borderId="8" fillId="0" fontId="2" numFmtId="0" xfId="0" applyBorder="1" applyFont="1"/>
    <xf borderId="5" fillId="3" fontId="4" numFmtId="0" xfId="0" applyAlignment="1" applyBorder="1" applyFill="1" applyFont="1">
      <alignment horizontal="center"/>
    </xf>
    <xf borderId="5" fillId="6" fontId="3" numFmtId="0" xfId="0" applyBorder="1" applyFill="1" applyFont="1"/>
    <xf borderId="5" fillId="6" fontId="5" numFmtId="164" xfId="0" applyBorder="1" applyFill="1" applyFont="1" applyNumberFormat="1"/>
    <xf borderId="5" fillId="6" fontId="5" numFmtId="0" xfId="0" applyBorder="1" applyFill="1" applyFont="1"/>
    <xf borderId="5" fillId="6" fontId="3" numFmtId="164" xfId="0" applyBorder="1" applyFill="1" applyFont="1" applyNumberFormat="1"/>
    <xf borderId="1" fillId="3" fontId="6" numFmtId="0" xfId="0" applyAlignment="1" applyBorder="1" applyFill="1" applyFont="1">
      <alignment horizontal="center" vertical="center"/>
    </xf>
    <xf borderId="5" fillId="6" fontId="3" numFmtId="165" xfId="0" applyBorder="1" applyFill="1" applyFont="1" applyNumberFormat="1"/>
    <xf borderId="1" fillId="7" fontId="6" numFmtId="0" xfId="0" applyAlignment="1" applyBorder="1" applyFill="1" applyFont="1">
      <alignment horizontal="center" vertical="center"/>
    </xf>
    <xf borderId="9" fillId="7" fontId="6" numFmtId="0" xfId="0" applyAlignment="1" applyBorder="1" applyFill="1" applyFont="1">
      <alignment horizontal="center" vertical="center"/>
    </xf>
    <xf borderId="5" fillId="6" fontId="3" numFmtId="166" xfId="0" applyBorder="1" applyFill="1" applyFont="1" applyNumberFormat="1"/>
    <xf borderId="1" fillId="8" fontId="6" numFmtId="0" xfId="0" applyAlignment="1" applyBorder="1" applyFill="1" applyFont="1">
      <alignment horizontal="center" vertical="center"/>
    </xf>
    <xf borderId="1" fillId="9" fontId="6" numFmtId="0" xfId="0" applyAlignment="1" applyBorder="1" applyFill="1" applyFont="1">
      <alignment horizontal="center" vertical="center"/>
    </xf>
    <xf borderId="1" fillId="10" fontId="6" numFmtId="0" xfId="0" applyAlignment="1" applyBorder="1" applyFill="1" applyFont="1">
      <alignment horizontal="center" vertical="center"/>
    </xf>
    <xf borderId="5" fillId="6" fontId="5" numFmtId="165" xfId="0" applyBorder="1" applyFill="1" applyFont="1" applyNumberFormat="1"/>
    <xf borderId="1" fillId="5" fontId="6" numFmtId="0" xfId="0" applyAlignment="1" applyBorder="1" applyFill="1" applyFont="1">
      <alignment horizontal="center" vertical="center"/>
    </xf>
    <xf borderId="6" fillId="0" fontId="3" numFmtId="165" xfId="0" applyBorder="1" applyFont="1" applyNumberFormat="1"/>
    <xf borderId="5" fillId="11" fontId="3" numFmtId="0" xfId="0" applyBorder="1" applyFill="1" applyFont="1"/>
    <xf borderId="5" fillId="11" fontId="3" numFmtId="165" xfId="0" applyBorder="1" applyFill="1" applyFont="1" applyNumberFormat="1"/>
    <xf borderId="4" fillId="2" fontId="7" numFmtId="0" xfId="0" applyAlignment="1" applyBorder="1" applyFill="1" applyFont="1">
      <alignment horizontal="center" readingOrder="0" shrinkToFit="0" vertical="center" wrapText="1"/>
    </xf>
    <xf borderId="10" fillId="11" fontId="3" numFmtId="0" xfId="0" applyBorder="1" applyFill="1" applyFont="1"/>
    <xf borderId="10" fillId="11" fontId="3" numFmtId="165" xfId="0" applyBorder="1" applyFill="1" applyFont="1" applyNumberFormat="1"/>
    <xf borderId="4" fillId="2" fontId="7" numFmtId="49" xfId="0" applyAlignment="1" applyBorder="1" applyFill="1" applyFont="1" applyNumberFormat="1">
      <alignment horizontal="center" readingOrder="0" shrinkToFit="0" vertical="center" wrapText="1"/>
    </xf>
    <xf borderId="0" fillId="4" fontId="8" numFmtId="0" xfId="0" applyAlignment="1" applyFill="1" applyFont="1">
      <alignment shrinkToFit="0" vertical="bottom" wrapText="0"/>
    </xf>
    <xf borderId="0" fillId="12" fontId="8" numFmtId="0" xfId="0" applyAlignment="1" applyFill="1" applyFont="1">
      <alignment readingOrder="0" shrinkToFit="0" vertical="center" wrapText="0"/>
    </xf>
    <xf borderId="5" fillId="4" fontId="9" numFmtId="1" xfId="0" applyAlignment="1" applyBorder="1" applyFill="1" applyFont="1" applyNumberFormat="1">
      <alignment horizontal="right" shrinkToFit="0" vertical="center" wrapText="0"/>
    </xf>
    <xf borderId="5" fillId="4" fontId="9" numFmtId="2" xfId="0" applyAlignment="1" applyBorder="1" applyFill="1" applyFont="1" applyNumberFormat="1">
      <alignment horizontal="right" shrinkToFit="0" vertical="center" wrapText="0"/>
    </xf>
    <xf borderId="5" fillId="4" fontId="9" numFmtId="165" xfId="0" applyAlignment="1" applyBorder="1" applyFill="1" applyFont="1" applyNumberFormat="1">
      <alignment horizontal="right" shrinkToFit="0" vertical="center" wrapText="0"/>
    </xf>
    <xf borderId="5" fillId="4" fontId="9" numFmtId="0" xfId="0" applyAlignment="1" applyBorder="1" applyFill="1" applyFont="1">
      <alignment horizontal="right" shrinkToFit="0" vertical="center" wrapText="0"/>
    </xf>
    <xf borderId="0" fillId="4" fontId="8" numFmtId="0" xfId="0" applyAlignment="1" applyFill="1" applyFont="1">
      <alignment horizontal="right" shrinkToFit="0" vertical="bottom" wrapText="0"/>
    </xf>
    <xf borderId="0" fillId="4" fontId="8" numFmtId="0" xfId="0" applyAlignment="1" applyFill="1" applyFont="1">
      <alignment horizontal="right" shrinkToFit="0" vertical="bottom" wrapText="0"/>
    </xf>
    <xf borderId="5" fillId="13" fontId="9" numFmtId="2" xfId="0" applyAlignment="1" applyBorder="1" applyFill="1" applyFont="1" applyNumberFormat="1">
      <alignment horizontal="right" shrinkToFit="0" vertical="center" wrapText="0"/>
    </xf>
    <xf borderId="5" fillId="14" fontId="9" numFmtId="2" xfId="0" applyAlignment="1" applyBorder="1" applyFill="1" applyFont="1" applyNumberFormat="1">
      <alignment horizontal="right" readingOrder="0" shrinkToFit="0" vertical="center" wrapText="0"/>
    </xf>
    <xf borderId="11" fillId="14" fontId="9" numFmtId="2" xfId="0" applyAlignment="1" applyBorder="1" applyFill="1" applyFont="1" applyNumberFormat="1">
      <alignment horizontal="right" readingOrder="0" shrinkToFit="0" vertical="center" wrapText="0"/>
    </xf>
    <xf borderId="5" fillId="14" fontId="9" numFmtId="0" xfId="0" applyAlignment="1" applyBorder="1" applyFill="1" applyFont="1">
      <alignment horizontal="right" shrinkToFit="0" vertical="center" wrapText="0"/>
    </xf>
    <xf borderId="5" fillId="14" fontId="9" numFmtId="3" xfId="0" applyAlignment="1" applyBorder="1" applyFill="1" applyFont="1" applyNumberFormat="1">
      <alignment horizontal="right" shrinkToFit="0" vertical="center" wrapText="0"/>
    </xf>
    <xf borderId="5" fillId="13" fontId="9" numFmtId="3" xfId="0" applyAlignment="1" applyBorder="1" applyFill="1" applyFont="1" applyNumberFormat="1">
      <alignment horizontal="right" shrinkToFit="0" vertical="center" wrapText="0"/>
    </xf>
    <xf borderId="5" fillId="6" fontId="10" numFmtId="1" xfId="0" applyAlignment="1" applyBorder="1" applyFill="1" applyFont="1" applyNumberFormat="1">
      <alignment horizontal="right" readingOrder="0" shrinkToFit="0" vertical="center" wrapText="0"/>
    </xf>
    <xf borderId="5" fillId="6" fontId="9" numFmtId="0" xfId="0" applyAlignment="1" applyBorder="1" applyFill="1" applyFont="1">
      <alignment horizontal="right" shrinkToFit="0" vertical="center" wrapText="0"/>
    </xf>
    <xf borderId="5" fillId="11" fontId="9" numFmtId="2" xfId="0" applyAlignment="1" applyBorder="1" applyFill="1" applyFont="1" applyNumberFormat="1">
      <alignment horizontal="right" shrinkToFit="0" vertical="center" wrapText="0"/>
    </xf>
    <xf borderId="0" fillId="4" fontId="8" numFmtId="0" xfId="0" applyAlignment="1" applyFill="1" applyFont="1">
      <alignment readingOrder="0" shrinkToFit="0" vertical="center" wrapText="0"/>
    </xf>
    <xf borderId="5" fillId="4" fontId="9" numFmtId="2" xfId="0" applyAlignment="1" applyBorder="1" applyFill="1" applyFont="1" applyNumberFormat="1">
      <alignment horizontal="right" readingOrder="0" shrinkToFit="0" vertical="center" wrapText="0"/>
    </xf>
    <xf borderId="5" fillId="4" fontId="9" numFmtId="1" xfId="0" applyAlignment="1" applyBorder="1" applyFill="1" applyFont="1" applyNumberFormat="1">
      <alignment horizontal="right" readingOrder="0" shrinkToFit="0" vertical="center" wrapText="0"/>
    </xf>
    <xf borderId="5" fillId="4" fontId="9" numFmtId="0" xfId="0" applyAlignment="1" applyBorder="1" applyFill="1" applyFont="1">
      <alignment horizontal="right" readingOrder="0" shrinkToFit="0" vertical="center" wrapText="0"/>
    </xf>
    <xf borderId="11" fillId="13" fontId="9" numFmtId="2" xfId="0" applyAlignment="1" applyBorder="1" applyFill="1" applyFont="1" applyNumberFormat="1">
      <alignment horizontal="right" shrinkToFit="0" vertical="center" wrapText="0"/>
    </xf>
    <xf borderId="11" fillId="14" fontId="9" numFmtId="0" xfId="0" applyAlignment="1" applyBorder="1" applyFill="1" applyFont="1">
      <alignment horizontal="right" shrinkToFit="0" vertical="center" wrapText="0"/>
    </xf>
    <xf borderId="11" fillId="14" fontId="9" numFmtId="3" xfId="0" applyAlignment="1" applyBorder="1" applyFill="1" applyFont="1" applyNumberFormat="1">
      <alignment horizontal="right" shrinkToFit="0" vertical="center" wrapText="0"/>
    </xf>
    <xf borderId="11" fillId="13" fontId="9" numFmtId="3" xfId="0" applyAlignment="1" applyBorder="1" applyFill="1" applyFont="1" applyNumberFormat="1">
      <alignment horizontal="right" shrinkToFit="0" vertical="center" wrapText="0"/>
    </xf>
    <xf borderId="11" fillId="6" fontId="10" numFmtId="1" xfId="0" applyAlignment="1" applyBorder="1" applyFill="1" applyFont="1" applyNumberFormat="1">
      <alignment horizontal="right" readingOrder="0" shrinkToFit="0" vertical="center" wrapText="0"/>
    </xf>
    <xf borderId="11" fillId="6" fontId="9" numFmtId="0" xfId="0" applyAlignment="1" applyBorder="1" applyFill="1" applyFont="1">
      <alignment horizontal="right" shrinkToFit="0" vertical="center" wrapText="0"/>
    </xf>
    <xf borderId="11" fillId="11" fontId="9" numFmtId="2" xfId="0" applyAlignment="1" applyBorder="1" applyFill="1" applyFont="1" applyNumberFormat="1">
      <alignment horizontal="right" shrinkToFit="0" vertical="center" wrapText="0"/>
    </xf>
    <xf borderId="5" fillId="4" fontId="11" numFmtId="0" xfId="0" applyAlignment="1" applyBorder="1" applyFill="1" applyFont="1">
      <alignment horizontal="left" readingOrder="0" shrinkToFit="0" vertical="center" wrapText="0"/>
    </xf>
    <xf borderId="0" fillId="4" fontId="8" numFmtId="0" xfId="0" applyAlignment="1" applyFill="1" applyFont="1">
      <alignment horizontal="right" readingOrder="0" shrinkToFit="0" vertical="bottom" wrapText="0"/>
    </xf>
    <xf borderId="10" fillId="13" fontId="9" numFmtId="2" xfId="0" applyAlignment="1" applyBorder="1" applyFill="1" applyFont="1" applyNumberFormat="1">
      <alignment horizontal="right" shrinkToFit="0" vertical="center" wrapText="0"/>
    </xf>
    <xf borderId="10" fillId="13" fontId="9" numFmtId="3" xfId="0" applyAlignment="1" applyBorder="1" applyFill="1" applyFont="1" applyNumberFormat="1">
      <alignment horizontal="right" shrinkToFit="0" vertical="center" wrapText="0"/>
    </xf>
    <xf borderId="10" fillId="6" fontId="9" numFmtId="0" xfId="0" applyAlignment="1" applyBorder="1" applyFill="1" applyFont="1">
      <alignment horizontal="right" shrinkToFit="0" vertical="center" wrapText="0"/>
    </xf>
    <xf borderId="10" fillId="11" fontId="9" numFmtId="2" xfId="0" applyAlignment="1" applyBorder="1" applyFill="1" applyFont="1" applyNumberFormat="1">
      <alignment horizontal="right" shrinkToFit="0" vertical="center" wrapText="0"/>
    </xf>
    <xf borderId="0" fillId="0" fontId="12" numFmtId="0" xfId="0" applyFont="1"/>
    <xf borderId="0" fillId="0" fontId="12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156082"/>
          <bgColor rgb="FF156082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10mm-amm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AR15" displayName="AmmoChangeSheet" name="AmmoChangeSheet" id="1">
  <tableColumns count="44">
    <tableColumn name="name" id="1"/>
    <tableColumn name="pretty_name" id="2"/>
    <tableColumn name="ergonomics" id="3"/>
    <tableColumn name="weight" id="4"/>
    <tableColumn name="horizontal_recoil" id="5"/>
    <tableColumn name="vertical_recoil" id="6"/>
    <tableColumn name="barrel_deviation" id="7"/>
    <tableColumn name="bullet_damage" id="8"/>
    <tableColumn name="bullet_velocity" id="9"/>
    <tableColumn name="fire_rate" id="10"/>
    <tableColumn name="muzzle_loudness" id="11"/>
    <tableColumn name="price" id="12"/>
    <tableColumn name="damage_torso_a" id="13"/>
    <tableColumn name="damage_torso_b" id="14"/>
    <tableColumn name="damage_torso_c" id="15"/>
    <tableColumn name="damage_torso_d" id="16"/>
    <tableColumn name="damage_arm_d" id="17"/>
    <tableColumn name="damage_leg_d" id="18"/>
    <tableColumn name="damage_head_d" id="19"/>
    <tableColumn name="damage_25" id="20"/>
    <tableColumn name="damage_75" id="21"/>
    <tableColumn name="damage_150" id="22"/>
    <tableColumn name="damage_250" id="23"/>
    <tableColumn name="damage_375" id="24"/>
    <tableColumn name="damage_400" id="25"/>
    <tableColumn name="damage_500" id="26"/>
    <tableColumn name="weighted_damage" id="27"/>
    <tableColumn name="velocity_drop" id="28"/>
    <tableColumn name="suppression" id="29"/>
    <tableColumn name="bullet_penetration_ability" id="30"/>
    <tableColumn name="pen_low" id="31"/>
    <tableColumn name="pen_high" id="32"/>
    <tableColumn name="pen_velocity_low" id="33"/>
    <tableColumn name="pen_velocity_high" id="34"/>
    <tableColumn name="effective_velocity" id="35"/>
    <tableColumn name="penetration" id="36"/>
    <tableColumn name="calibers_row" id="37"/>
    <tableColumn name="source_file" id="38"/>
    <tableColumn name="balance_score" id="39"/>
    <tableColumn name="damage_score" id="40"/>
    <tableColumn name="velocity_drop_score" id="41"/>
    <tableColumn name="suppression_score" id="42"/>
    <tableColumn name="penetration_score" id="43"/>
    <tableColumn name="strength" id="44"/>
  </tableColumns>
  <tableStyleInfo name="10mm-amm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.13"/>
    <col customWidth="1" min="2" max="2" width="45.63"/>
    <col customWidth="1" min="3" max="8" width="5.63"/>
    <col customWidth="1" min="9" max="9" width="8.0"/>
    <col customWidth="1" min="10" max="29" width="5.63"/>
    <col customWidth="1" min="30" max="30" width="27.13"/>
    <col customWidth="1" min="31" max="37" width="5.63"/>
    <col customWidth="1" min="38" max="38" width="9.63"/>
    <col customWidth="1" min="39" max="44" width="5.63"/>
  </cols>
  <sheetData>
    <row r="1" ht="24.0" customHeight="1">
      <c r="A1" s="20" t="s">
        <v>24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22" t="s">
        <v>27</v>
      </c>
      <c r="N1" s="2"/>
      <c r="O1" s="2"/>
      <c r="P1" s="3"/>
      <c r="Q1" s="23"/>
      <c r="R1" s="23"/>
      <c r="S1" s="23"/>
      <c r="T1" s="25" t="s">
        <v>37</v>
      </c>
      <c r="U1" s="2"/>
      <c r="V1" s="2"/>
      <c r="W1" s="2"/>
      <c r="X1" s="2"/>
      <c r="Y1" s="2"/>
      <c r="Z1" s="2"/>
      <c r="AA1" s="3"/>
      <c r="AB1" s="22" t="s">
        <v>38</v>
      </c>
      <c r="AC1" s="2"/>
      <c r="AD1" s="2"/>
      <c r="AE1" s="2"/>
      <c r="AF1" s="2"/>
      <c r="AG1" s="2"/>
      <c r="AH1" s="3"/>
      <c r="AI1" s="26" t="s">
        <v>39</v>
      </c>
      <c r="AJ1" s="3"/>
      <c r="AK1" s="27" t="s">
        <v>41</v>
      </c>
      <c r="AL1" s="3"/>
      <c r="AM1" s="29" t="s">
        <v>44</v>
      </c>
      <c r="AN1" s="2"/>
      <c r="AO1" s="2"/>
      <c r="AP1" s="2"/>
      <c r="AQ1" s="2"/>
      <c r="AR1" s="3"/>
    </row>
    <row r="2" ht="45.75" customHeight="1">
      <c r="A2" s="33" t="s">
        <v>47</v>
      </c>
      <c r="B2" s="33" t="s">
        <v>55</v>
      </c>
      <c r="C2" s="33" t="s">
        <v>29</v>
      </c>
      <c r="D2" s="33" t="s">
        <v>30</v>
      </c>
      <c r="E2" s="33" t="s">
        <v>31</v>
      </c>
      <c r="F2" s="33" t="s">
        <v>32</v>
      </c>
      <c r="G2" s="33" t="s">
        <v>33</v>
      </c>
      <c r="H2" s="33" t="s">
        <v>34</v>
      </c>
      <c r="I2" s="33" t="s">
        <v>36</v>
      </c>
      <c r="J2" s="33" t="s">
        <v>40</v>
      </c>
      <c r="K2" s="36" t="s">
        <v>42</v>
      </c>
      <c r="L2" s="33" t="s">
        <v>43</v>
      </c>
      <c r="M2" s="33" t="s">
        <v>56</v>
      </c>
      <c r="N2" s="33" t="s">
        <v>57</v>
      </c>
      <c r="O2" s="33" t="s">
        <v>58</v>
      </c>
      <c r="P2" s="33" t="s">
        <v>59</v>
      </c>
      <c r="Q2" s="33" t="s">
        <v>60</v>
      </c>
      <c r="R2" s="33" t="s">
        <v>61</v>
      </c>
      <c r="S2" s="33" t="s">
        <v>62</v>
      </c>
      <c r="T2" s="33" t="s">
        <v>63</v>
      </c>
      <c r="U2" s="33" t="s">
        <v>64</v>
      </c>
      <c r="V2" s="33" t="s">
        <v>65</v>
      </c>
      <c r="W2" s="33" t="s">
        <v>66</v>
      </c>
      <c r="X2" s="33" t="s">
        <v>67</v>
      </c>
      <c r="Y2" s="33" t="s">
        <v>68</v>
      </c>
      <c r="Z2" s="33" t="s">
        <v>69</v>
      </c>
      <c r="AA2" s="33" t="s">
        <v>48</v>
      </c>
      <c r="AB2" s="33" t="s">
        <v>50</v>
      </c>
      <c r="AC2" s="33" t="s">
        <v>52</v>
      </c>
      <c r="AD2" s="33" t="s">
        <v>70</v>
      </c>
      <c r="AE2" s="33" t="s">
        <v>71</v>
      </c>
      <c r="AF2" s="33" t="s">
        <v>72</v>
      </c>
      <c r="AG2" s="33" t="s">
        <v>73</v>
      </c>
      <c r="AH2" s="33" t="s">
        <v>74</v>
      </c>
      <c r="AI2" s="33" t="s">
        <v>75</v>
      </c>
      <c r="AJ2" s="33" t="s">
        <v>54</v>
      </c>
      <c r="AK2" s="33" t="s">
        <v>76</v>
      </c>
      <c r="AL2" s="33" t="s">
        <v>77</v>
      </c>
      <c r="AM2" s="33" t="s">
        <v>78</v>
      </c>
      <c r="AN2" s="33" t="s">
        <v>79</v>
      </c>
      <c r="AO2" s="33" t="s">
        <v>80</v>
      </c>
      <c r="AP2" s="33" t="s">
        <v>81</v>
      </c>
      <c r="AQ2" s="33" t="s">
        <v>82</v>
      </c>
      <c r="AR2" s="33" t="s">
        <v>83</v>
      </c>
    </row>
    <row r="3" ht="14.25" customHeight="1">
      <c r="A3" s="37" t="s">
        <v>84</v>
      </c>
      <c r="B3" s="38" t="s">
        <v>85</v>
      </c>
      <c r="C3" s="39">
        <v>0.0</v>
      </c>
      <c r="D3" s="40">
        <v>0.0</v>
      </c>
      <c r="E3" s="39">
        <v>0.0</v>
      </c>
      <c r="F3" s="39">
        <v>0.0</v>
      </c>
      <c r="G3" s="40">
        <v>0.0</v>
      </c>
      <c r="H3" s="41"/>
      <c r="I3" s="39">
        <v>0.02</v>
      </c>
      <c r="J3" s="40"/>
      <c r="K3" s="42"/>
      <c r="L3" s="42">
        <v>0.0</v>
      </c>
      <c r="M3" s="43">
        <v>-0.06</v>
      </c>
      <c r="N3" s="43">
        <v>48.0</v>
      </c>
      <c r="O3" s="43">
        <v>47.0</v>
      </c>
      <c r="P3" s="43">
        <v>1.0</v>
      </c>
      <c r="Q3" s="43">
        <v>0.3</v>
      </c>
      <c r="R3" s="43">
        <v>0.5</v>
      </c>
      <c r="S3" s="44">
        <v>3.0</v>
      </c>
      <c r="T3" s="45">
        <f>MAX(MIN($M3*Model!$A$13+$N3,$O3)*$P3,0)</f>
        <v>46.5</v>
      </c>
      <c r="U3" s="45">
        <f>MAX(MIN($M3*Model!$A$14+$N3,$O3)*$P3,0)</f>
        <v>43.5</v>
      </c>
      <c r="V3" s="45">
        <f>MAX(MIN($M3*Model!$A$15+$N3,$O3)*$P3,0)</f>
        <v>39</v>
      </c>
      <c r="W3" s="45">
        <f>MAX(MIN($M3*Model!$A$16+$N3,$O3)*$P3,0)</f>
        <v>33</v>
      </c>
      <c r="X3" s="45">
        <f>MAX(MIN($M3*Model!$A$17+$N3,$O3)*$P3,0)</f>
        <v>47</v>
      </c>
      <c r="Y3" s="45">
        <f>MAX(MIN($M3*Model!$A$18+$N3,$O3)*$P3,0)</f>
        <v>47</v>
      </c>
      <c r="Z3" s="45">
        <f>MAX(MIN($M3*Model!$A$19+$N3,$O3)*$P3,0)</f>
        <v>47</v>
      </c>
      <c r="AA3" s="45">
        <f>T3*Model!$B$13+U3*Model!$B$14+V3*Model!$B$15+W3*Model!$B$16+X3*Model!$B$17+Y3*Model!$B$18+Z3*Model!$B$19</f>
        <v>41.7</v>
      </c>
      <c r="AB3" s="46">
        <v>0.45</v>
      </c>
      <c r="AC3" s="47">
        <v>0.6</v>
      </c>
      <c r="AD3" s="48" t="str">
        <f>CONCATENATE("stat(bullet_velocity;",'10mm-ammo'!$AE3,";",'10mm-ammo'!$AF3,";",'10mm-ammo'!$AG3,";",'10mm-ammo'!$AH3,")")</f>
        <v>stat(bullet_velocity;0.2;0.6;500;2000)</v>
      </c>
      <c r="AE3" s="46">
        <v>0.2</v>
      </c>
      <c r="AF3" s="46">
        <v>0.6</v>
      </c>
      <c r="AG3" s="49">
        <v>500.0</v>
      </c>
      <c r="AH3" s="49">
        <v>2000.0</v>
      </c>
      <c r="AI3" s="50">
        <f>Model!$B$4+IF(I3="",0,I3)</f>
        <v>1150.02</v>
      </c>
      <c r="AJ3" s="45">
        <f t="shared" ref="AJ3:AJ15" si="1">MAX(AE3,MIN(AF3,AE3+(AI3-AG3)*(AF3-AE3)/(AH3-AG3)))</f>
        <v>0.3733386667</v>
      </c>
      <c r="AK3" s="51" t="s">
        <v>86</v>
      </c>
      <c r="AL3" s="52" t="s">
        <v>87</v>
      </c>
      <c r="AM3" s="53">
        <f>C3*Model!$B$24+D3*Model!$B$25+E3*Model!$B$26+F3*Model!$B$27+G3*Model!$B$28+H3*Model!$B$29+I3*Model!$B$30+J3*Model!$B$31+K3*Model!$B$32+L3*Model!$B$33</f>
        <v>0.0001</v>
      </c>
      <c r="AN3" s="53">
        <f>(AA3-Model!$B$5)*Model!$B$36</f>
        <v>-12.45</v>
      </c>
      <c r="AO3" s="53">
        <f>(Model!$B$6-AB3)*Model!$B$37</f>
        <v>-0.2</v>
      </c>
      <c r="AP3" s="53">
        <f>(AC3-Model!$B$7)*Model!$B$38</f>
        <v>0.45</v>
      </c>
      <c r="AQ3" s="53">
        <f>(AJ3-Model!$B$8)*Model!$B$39</f>
        <v>0.8933546667</v>
      </c>
      <c r="AR3" s="53">
        <f t="shared" ref="AR3:AR15" si="2">SUM(AM3:AQ3)</f>
        <v>-11.30654533</v>
      </c>
    </row>
    <row r="4" ht="14.25" customHeight="1">
      <c r="A4" s="37" t="s">
        <v>88</v>
      </c>
      <c r="B4" s="54" t="s">
        <v>89</v>
      </c>
      <c r="C4" s="39">
        <v>0.0</v>
      </c>
      <c r="D4" s="55">
        <v>0.05</v>
      </c>
      <c r="E4" s="56">
        <v>-1.0</v>
      </c>
      <c r="F4" s="56">
        <v>1.0</v>
      </c>
      <c r="G4" s="55">
        <v>-0.05</v>
      </c>
      <c r="H4" s="41"/>
      <c r="I4" s="56">
        <v>-75.0</v>
      </c>
      <c r="J4" s="40"/>
      <c r="K4" s="42"/>
      <c r="L4" s="57">
        <v>500.0</v>
      </c>
      <c r="M4" s="43">
        <v>-0.058</v>
      </c>
      <c r="N4" s="43">
        <v>48.5</v>
      </c>
      <c r="O4" s="43">
        <v>47.5</v>
      </c>
      <c r="P4" s="43">
        <v>1.0</v>
      </c>
      <c r="Q4" s="43">
        <v>0.3</v>
      </c>
      <c r="R4" s="43">
        <v>0.5</v>
      </c>
      <c r="S4" s="44">
        <v>3.0</v>
      </c>
      <c r="T4" s="58">
        <f>MAX(MIN($M4*Model!$A$13+$N4,$O4)*$P4,0)</f>
        <v>47.05</v>
      </c>
      <c r="U4" s="58">
        <f>MAX(MIN($M4*Model!$A$14+$N4,$O4)*$P4,0)</f>
        <v>44.15</v>
      </c>
      <c r="V4" s="58">
        <f>MAX(MIN($M4*Model!$A$15+$N4,$O4)*$P4,0)</f>
        <v>39.8</v>
      </c>
      <c r="W4" s="58">
        <f>MAX(MIN($M4*Model!$A$16+$N4,$O4)*$P4,0)</f>
        <v>34</v>
      </c>
      <c r="X4" s="58">
        <f>MAX(MIN($M4*Model!$A$17+$N4,$O4)*$P4,0)</f>
        <v>47.5</v>
      </c>
      <c r="Y4" s="58">
        <f>MAX(MIN($M4*Model!$A$18+$N4,$O4)*$P4,0)</f>
        <v>47.5</v>
      </c>
      <c r="Z4" s="58">
        <f>MAX(MIN($M4*Model!$A$19+$N4,$O4)*$P4,0)</f>
        <v>47.5</v>
      </c>
      <c r="AA4" s="58">
        <f>T4*Model!$B$13+U4*Model!$B$14+V4*Model!$B$15+W4*Model!$B$16+X4*Model!$B$17+Y4*Model!$B$18+Z4*Model!$B$19</f>
        <v>42.41</v>
      </c>
      <c r="AB4" s="46">
        <v>0.4</v>
      </c>
      <c r="AC4" s="47">
        <v>0.65</v>
      </c>
      <c r="AD4" s="59" t="str">
        <f>CONCATENATE("stat(bullet_velocity;",'10mm-ammo'!$AE4,";",'10mm-ammo'!$AF4,";",'10mm-ammo'!$AG4,";",'10mm-ammo'!$AH4,")")</f>
        <v>stat(bullet_velocity;0.25;0.65;500;2000)</v>
      </c>
      <c r="AE4" s="46">
        <v>0.25</v>
      </c>
      <c r="AF4" s="46">
        <v>0.65</v>
      </c>
      <c r="AG4" s="60">
        <v>500.0</v>
      </c>
      <c r="AH4" s="60">
        <v>2000.0</v>
      </c>
      <c r="AI4" s="61">
        <f>Model!$B$4+IF(I4="",0,I4)</f>
        <v>1075</v>
      </c>
      <c r="AJ4" s="58">
        <f t="shared" si="1"/>
        <v>0.4033333333</v>
      </c>
      <c r="AK4" s="62" t="s">
        <v>86</v>
      </c>
      <c r="AL4" s="63" t="s">
        <v>87</v>
      </c>
      <c r="AM4" s="64">
        <f>C4*Model!$B$24+D4*Model!$B$25+E4*Model!$B$26+F4*Model!$B$27+G4*Model!$B$28+H4*Model!$B$29+I4*Model!$B$30+J4*Model!$B$31+K4*Model!$B$32+L4*Model!$B$33</f>
        <v>-0.675</v>
      </c>
      <c r="AN4" s="64">
        <f>(AA4-Model!$B$5)*Model!$B$36</f>
        <v>-11.385</v>
      </c>
      <c r="AO4" s="64">
        <f>(Model!$B$6-AB4)*Model!$B$37</f>
        <v>-0.3</v>
      </c>
      <c r="AP4" s="64">
        <f>(AC4-Model!$B$7)*Model!$B$38</f>
        <v>0.6</v>
      </c>
      <c r="AQ4" s="64">
        <f>(AJ4-Model!$B$8)*Model!$B$39</f>
        <v>1.013333333</v>
      </c>
      <c r="AR4" s="64">
        <f t="shared" si="2"/>
        <v>-10.74666667</v>
      </c>
    </row>
    <row r="5" ht="14.25" customHeight="1">
      <c r="A5" s="54" t="s">
        <v>90</v>
      </c>
      <c r="B5" s="54" t="s">
        <v>91</v>
      </c>
      <c r="C5" s="56">
        <v>-1.0</v>
      </c>
      <c r="D5" s="55">
        <v>-0.02</v>
      </c>
      <c r="E5" s="56">
        <v>3.0</v>
      </c>
      <c r="F5" s="56">
        <v>4.0</v>
      </c>
      <c r="G5" s="55">
        <v>0.05</v>
      </c>
      <c r="H5" s="41"/>
      <c r="I5" s="56">
        <v>50.0</v>
      </c>
      <c r="J5" s="40"/>
      <c r="K5" s="42"/>
      <c r="L5" s="57">
        <v>2000.0</v>
      </c>
      <c r="M5" s="43">
        <v>-0.094</v>
      </c>
      <c r="N5" s="43">
        <v>52.5</v>
      </c>
      <c r="O5" s="43">
        <v>52.0</v>
      </c>
      <c r="P5" s="43">
        <v>1.0</v>
      </c>
      <c r="Q5" s="43">
        <v>0.35</v>
      </c>
      <c r="R5" s="43">
        <v>0.55</v>
      </c>
      <c r="S5" s="44">
        <v>3.0</v>
      </c>
      <c r="T5" s="45">
        <f>MAX(MIN($M5*Model!$A$13+$N5,$O5)*$P5,0)</f>
        <v>50.15</v>
      </c>
      <c r="U5" s="45">
        <f>MAX(MIN($M5*Model!$A$14+$N5,$O5)*$P5,0)</f>
        <v>45.45</v>
      </c>
      <c r="V5" s="45">
        <f>MAX(MIN($M5*Model!$A$15+$N5,$O5)*$P5,0)</f>
        <v>38.4</v>
      </c>
      <c r="W5" s="45">
        <f>MAX(MIN($M5*Model!$A$16+$N5,$O5)*$P5,0)</f>
        <v>29</v>
      </c>
      <c r="X5" s="45">
        <f>MAX(MIN($M5*Model!$A$17+$N5,$O5)*$P5,0)</f>
        <v>52</v>
      </c>
      <c r="Y5" s="45">
        <f>MAX(MIN($M5*Model!$A$18+$N5,$O5)*$P5,0)</f>
        <v>52</v>
      </c>
      <c r="Z5" s="45">
        <f>MAX(MIN($M5*Model!$A$19+$N5,$O5)*$P5,0)</f>
        <v>52</v>
      </c>
      <c r="AA5" s="45">
        <f>T5*Model!$B$13+U5*Model!$B$14+V5*Model!$B$15+W5*Model!$B$16+X5*Model!$B$17+Y5*Model!$B$18+Z5*Model!$B$19</f>
        <v>42.63</v>
      </c>
      <c r="AB5" s="46">
        <v>0.45</v>
      </c>
      <c r="AC5" s="47">
        <v>0.6</v>
      </c>
      <c r="AD5" s="48" t="str">
        <f>CONCATENATE("stat(bullet_velocity;",'10mm-ammo'!$AE5,";",'10mm-ammo'!$AF5,";",'10mm-ammo'!$AG5,";",'10mm-ammo'!$AH5,")")</f>
        <v>stat(bullet_velocity;0.05;0.25;500;2000)</v>
      </c>
      <c r="AE5" s="46">
        <v>0.05</v>
      </c>
      <c r="AF5" s="46">
        <v>0.25</v>
      </c>
      <c r="AG5" s="49">
        <v>500.0</v>
      </c>
      <c r="AH5" s="49">
        <v>2000.0</v>
      </c>
      <c r="AI5" s="50">
        <f>Model!$B$4+IF(I5="",0,I5)</f>
        <v>1200</v>
      </c>
      <c r="AJ5" s="45">
        <f t="shared" si="1"/>
        <v>0.1433333333</v>
      </c>
      <c r="AK5" s="51" t="s">
        <v>86</v>
      </c>
      <c r="AL5" s="52" t="s">
        <v>87</v>
      </c>
      <c r="AM5" s="53">
        <f>C5*Model!$B$24+D5*Model!$B$25+E5*Model!$B$26+F5*Model!$B$27+G5*Model!$B$28+H5*Model!$B$29+I5*Model!$B$30+J5*Model!$B$31+K5*Model!$B$32+L5*Model!$B$33</f>
        <v>-5.65</v>
      </c>
      <c r="AN5" s="53">
        <f>(AA5-Model!$B$5)*Model!$B$36</f>
        <v>-11.055</v>
      </c>
      <c r="AO5" s="53">
        <f>(Model!$B$6-AB5)*Model!$B$37</f>
        <v>-0.2</v>
      </c>
      <c r="AP5" s="53">
        <f>(AC5-Model!$B$7)*Model!$B$38</f>
        <v>0.45</v>
      </c>
      <c r="AQ5" s="53">
        <f>(AJ5-Model!$B$8)*Model!$B$39</f>
        <v>-0.02666666667</v>
      </c>
      <c r="AR5" s="53">
        <f t="shared" si="2"/>
        <v>-16.48166667</v>
      </c>
    </row>
    <row r="6" ht="14.25" customHeight="1">
      <c r="A6" s="54" t="s">
        <v>92</v>
      </c>
      <c r="B6" s="54" t="s">
        <v>93</v>
      </c>
      <c r="C6" s="56">
        <v>-2.0</v>
      </c>
      <c r="D6" s="55">
        <v>-0.16</v>
      </c>
      <c r="E6" s="56">
        <v>-2.0</v>
      </c>
      <c r="F6" s="56">
        <v>-3.0</v>
      </c>
      <c r="G6" s="55">
        <v>0.1</v>
      </c>
      <c r="H6" s="41"/>
      <c r="I6" s="56">
        <v>600.0</v>
      </c>
      <c r="J6" s="40"/>
      <c r="K6" s="42"/>
      <c r="L6" s="57">
        <v>2500.0</v>
      </c>
      <c r="M6" s="43">
        <v>-0.086</v>
      </c>
      <c r="N6" s="43">
        <v>51.5</v>
      </c>
      <c r="O6" s="43">
        <v>52.5</v>
      </c>
      <c r="P6" s="43">
        <v>1.0</v>
      </c>
      <c r="Q6" s="43">
        <v>0.35</v>
      </c>
      <c r="R6" s="43">
        <v>0.55</v>
      </c>
      <c r="S6" s="44">
        <v>3.0</v>
      </c>
      <c r="T6" s="45">
        <f>MAX(MIN($M6*Model!$A$13+$N6,$O6)*$P6,0)</f>
        <v>49.35</v>
      </c>
      <c r="U6" s="45">
        <f>MAX(MIN($M6*Model!$A$14+$N6,$O6)*$P6,0)</f>
        <v>45.05</v>
      </c>
      <c r="V6" s="45">
        <f>MAX(MIN($M6*Model!$A$15+$N6,$O6)*$P6,0)</f>
        <v>38.6</v>
      </c>
      <c r="W6" s="45">
        <f>MAX(MIN($M6*Model!$A$16+$N6,$O6)*$P6,0)</f>
        <v>30</v>
      </c>
      <c r="X6" s="45">
        <f>MAX(MIN($M6*Model!$A$17+$N6,$O6)*$P6,0)</f>
        <v>51.5</v>
      </c>
      <c r="Y6" s="45">
        <f>MAX(MIN($M6*Model!$A$18+$N6,$O6)*$P6,0)</f>
        <v>51.5</v>
      </c>
      <c r="Z6" s="45">
        <f>MAX(MIN($M6*Model!$A$19+$N6,$O6)*$P6,0)</f>
        <v>51.5</v>
      </c>
      <c r="AA6" s="45">
        <f>T6*Model!$B$13+U6*Model!$B$14+V6*Model!$B$15+W6*Model!$B$16+X6*Model!$B$17+Y6*Model!$B$18+Z6*Model!$B$19</f>
        <v>42.47</v>
      </c>
      <c r="AB6" s="46">
        <v>0.65</v>
      </c>
      <c r="AC6" s="47">
        <v>0.45</v>
      </c>
      <c r="AD6" s="48" t="str">
        <f>CONCATENATE("stat(bullet_velocity;",'10mm-ammo'!$AE6,";",'10mm-ammo'!$AF6,";",'10mm-ammo'!$AG6,";",'10mm-ammo'!$AH6,")")</f>
        <v>stat(bullet_velocity;0.05;0.3;500;2000)</v>
      </c>
      <c r="AE6" s="46">
        <v>0.05</v>
      </c>
      <c r="AF6" s="46">
        <v>0.3</v>
      </c>
      <c r="AG6" s="49">
        <v>500.0</v>
      </c>
      <c r="AH6" s="49">
        <v>2000.0</v>
      </c>
      <c r="AI6" s="50">
        <f>Model!$B$4+IF(I6="",0,I6)</f>
        <v>1750</v>
      </c>
      <c r="AJ6" s="45">
        <f t="shared" si="1"/>
        <v>0.2583333333</v>
      </c>
      <c r="AK6" s="51" t="s">
        <v>86</v>
      </c>
      <c r="AL6" s="52" t="s">
        <v>87</v>
      </c>
      <c r="AM6" s="53">
        <f>C6*Model!$B$24+D6*Model!$B$25+E6*Model!$B$26+F6*Model!$B$27+G6*Model!$B$28+H6*Model!$B$29+I6*Model!$B$30+J6*Model!$B$31+K6*Model!$B$32+L6*Model!$B$33</f>
        <v>6.6</v>
      </c>
      <c r="AN6" s="53">
        <f>(AA6-Model!$B$5)*Model!$B$36</f>
        <v>-11.295</v>
      </c>
      <c r="AO6" s="53">
        <f>(Model!$B$6-AB6)*Model!$B$37</f>
        <v>0.2</v>
      </c>
      <c r="AP6" s="53">
        <f>(AC6-Model!$B$7)*Model!$B$38</f>
        <v>0</v>
      </c>
      <c r="AQ6" s="53">
        <f>(AJ6-Model!$B$8)*Model!$B$39</f>
        <v>0.4333333333</v>
      </c>
      <c r="AR6" s="53">
        <f t="shared" si="2"/>
        <v>-4.061666667</v>
      </c>
    </row>
    <row r="7" ht="14.25" customHeight="1">
      <c r="A7" s="54" t="s">
        <v>94</v>
      </c>
      <c r="B7" s="65" t="s">
        <v>95</v>
      </c>
      <c r="C7" s="39">
        <v>0.0</v>
      </c>
      <c r="D7" s="55">
        <v>0.05</v>
      </c>
      <c r="E7" s="56">
        <v>2.0</v>
      </c>
      <c r="F7" s="56">
        <v>2.0</v>
      </c>
      <c r="G7" s="55">
        <v>0.05</v>
      </c>
      <c r="H7" s="41"/>
      <c r="I7" s="56">
        <v>-50.0</v>
      </c>
      <c r="J7" s="40"/>
      <c r="K7" s="42"/>
      <c r="L7" s="57">
        <v>2500.0</v>
      </c>
      <c r="M7" s="44">
        <v>-0.08</v>
      </c>
      <c r="N7" s="43">
        <v>51.5</v>
      </c>
      <c r="O7" s="43">
        <v>51.5</v>
      </c>
      <c r="P7" s="43">
        <v>1.0</v>
      </c>
      <c r="Q7" s="43">
        <v>0.35</v>
      </c>
      <c r="R7" s="43">
        <v>0.55</v>
      </c>
      <c r="S7" s="44">
        <v>3.0</v>
      </c>
      <c r="T7" s="45">
        <f>MAX(MIN($M7*Model!$A$13+$N7,$O7)*$P7,0)</f>
        <v>49.5</v>
      </c>
      <c r="U7" s="45">
        <f>MAX(MIN($M7*Model!$A$14+$N7,$O7)*$P7,0)</f>
        <v>45.5</v>
      </c>
      <c r="V7" s="45">
        <f>MAX(MIN($M7*Model!$A$15+$N7,$O7)*$P7,0)</f>
        <v>39.5</v>
      </c>
      <c r="W7" s="45">
        <f>MAX(MIN($M7*Model!$A$16+$N7,$O7)*$P7,0)</f>
        <v>31.5</v>
      </c>
      <c r="X7" s="45">
        <f>MAX(MIN($M7*Model!$A$17+$N7,$O7)*$P7,0)</f>
        <v>51.5</v>
      </c>
      <c r="Y7" s="45">
        <f>MAX(MIN($M7*Model!$A$18+$N7,$O7)*$P7,0)</f>
        <v>51.5</v>
      </c>
      <c r="Z7" s="45">
        <f>MAX(MIN($M7*Model!$A$19+$N7,$O7)*$P7,0)</f>
        <v>51.5</v>
      </c>
      <c r="AA7" s="45">
        <f>T7*Model!$B$13+U7*Model!$B$14+V7*Model!$B$15+W7*Model!$B$16+X7*Model!$B$17+Y7*Model!$B$18+Z7*Model!$B$19</f>
        <v>43.1</v>
      </c>
      <c r="AB7" s="46">
        <v>0.5</v>
      </c>
      <c r="AC7" s="47">
        <v>0.65</v>
      </c>
      <c r="AD7" s="48" t="str">
        <f>CONCATENATE("stat(bullet_velocity;",'10mm-ammo'!$AE7,";",'10mm-ammo'!$AF7,";",'10mm-ammo'!$AG7,";",'10mm-ammo'!$AH7,")")</f>
        <v>stat(bullet_velocity;0.1;0.35;500;2000)</v>
      </c>
      <c r="AE7" s="46">
        <v>0.1</v>
      </c>
      <c r="AF7" s="46">
        <v>0.35</v>
      </c>
      <c r="AG7" s="49">
        <v>500.0</v>
      </c>
      <c r="AH7" s="49">
        <v>2000.0</v>
      </c>
      <c r="AI7" s="50">
        <f>Model!$B$4+IF(I7="",0,I7)</f>
        <v>1100</v>
      </c>
      <c r="AJ7" s="45">
        <f t="shared" si="1"/>
        <v>0.2</v>
      </c>
      <c r="AK7" s="51" t="s">
        <v>86</v>
      </c>
      <c r="AL7" s="52" t="s">
        <v>87</v>
      </c>
      <c r="AM7" s="53">
        <f>C7*Model!$B$24+D7*Model!$B$25+E7*Model!$B$26+F7*Model!$B$27+G7*Model!$B$28+H7*Model!$B$29+I7*Model!$B$30+J7*Model!$B$31+K7*Model!$B$32+L7*Model!$B$33</f>
        <v>-4.55</v>
      </c>
      <c r="AN7" s="53">
        <f>(AA7-Model!$B$5)*Model!$B$36</f>
        <v>-10.35</v>
      </c>
      <c r="AO7" s="53">
        <f>(Model!$B$6-AB7)*Model!$B$37</f>
        <v>-0.1</v>
      </c>
      <c r="AP7" s="53">
        <f>(AC7-Model!$B$7)*Model!$B$38</f>
        <v>0.6</v>
      </c>
      <c r="AQ7" s="53">
        <f>(AJ7-Model!$B$8)*Model!$B$39</f>
        <v>0.2</v>
      </c>
      <c r="AR7" s="53">
        <f t="shared" si="2"/>
        <v>-14.2</v>
      </c>
    </row>
    <row r="8" ht="14.25" customHeight="1">
      <c r="A8" s="54" t="s">
        <v>96</v>
      </c>
      <c r="B8" s="54" t="s">
        <v>97</v>
      </c>
      <c r="C8" s="56">
        <v>-3.0</v>
      </c>
      <c r="D8" s="55">
        <v>0.11</v>
      </c>
      <c r="E8" s="56">
        <v>3.0</v>
      </c>
      <c r="F8" s="56">
        <v>5.0</v>
      </c>
      <c r="G8" s="55">
        <v>0.05</v>
      </c>
      <c r="H8" s="41"/>
      <c r="I8" s="39">
        <v>0.02</v>
      </c>
      <c r="J8" s="40"/>
      <c r="K8" s="42"/>
      <c r="L8" s="57">
        <v>3250.0</v>
      </c>
      <c r="M8" s="66">
        <v>-0.084</v>
      </c>
      <c r="N8" s="66">
        <v>52.0</v>
      </c>
      <c r="O8" s="66">
        <v>50.0</v>
      </c>
      <c r="P8" s="43">
        <v>1.0</v>
      </c>
      <c r="Q8" s="43">
        <v>0.3</v>
      </c>
      <c r="R8" s="43">
        <v>0.3</v>
      </c>
      <c r="S8" s="44">
        <v>3.0</v>
      </c>
      <c r="T8" s="45">
        <f>MAX(MIN($M8*Model!$A$13+$N8,$O8)*$P8,0)</f>
        <v>49.9</v>
      </c>
      <c r="U8" s="45">
        <f>MAX(MIN($M8*Model!$A$14+$N8,$O8)*$P8,0)</f>
        <v>45.7</v>
      </c>
      <c r="V8" s="45">
        <f>MAX(MIN($M8*Model!$A$15+$N8,$O8)*$P8,0)</f>
        <v>39.4</v>
      </c>
      <c r="W8" s="45">
        <f>MAX(MIN($M8*Model!$A$16+$N8,$O8)*$P8,0)</f>
        <v>31</v>
      </c>
      <c r="X8" s="45">
        <f>MAX(MIN($M8*Model!$A$17+$N8,$O8)*$P8,0)</f>
        <v>50</v>
      </c>
      <c r="Y8" s="45">
        <f>MAX(MIN($M8*Model!$A$18+$N8,$O8)*$P8,0)</f>
        <v>50</v>
      </c>
      <c r="Z8" s="45">
        <f>MAX(MIN($M8*Model!$A$19+$N8,$O8)*$P8,0)</f>
        <v>50</v>
      </c>
      <c r="AA8" s="45">
        <f>T8*Model!$B$13+U8*Model!$B$14+V8*Model!$B$15+W8*Model!$B$16+X8*Model!$B$17+Y8*Model!$B$18+Z8*Model!$B$19</f>
        <v>43.18</v>
      </c>
      <c r="AB8" s="46">
        <v>0.55</v>
      </c>
      <c r="AC8" s="47">
        <v>0.7</v>
      </c>
      <c r="AD8" s="48" t="str">
        <f>CONCATENATE("stat(bullet_velocity;",'10mm-ammo'!$AE8,";",'10mm-ammo'!$AF8,";",'10mm-ammo'!$AG8,";",'10mm-ammo'!$AH8,")")</f>
        <v>stat(bullet_velocity;0.3;0.7;500;2000)</v>
      </c>
      <c r="AE8" s="46">
        <v>0.3</v>
      </c>
      <c r="AF8" s="46">
        <v>0.7</v>
      </c>
      <c r="AG8" s="49">
        <v>500.0</v>
      </c>
      <c r="AH8" s="49">
        <v>2000.0</v>
      </c>
      <c r="AI8" s="50">
        <f>Model!$B$4+IF(I8="",0,I8)</f>
        <v>1150.02</v>
      </c>
      <c r="AJ8" s="45">
        <f t="shared" si="1"/>
        <v>0.4733386667</v>
      </c>
      <c r="AK8" s="51" t="s">
        <v>86</v>
      </c>
      <c r="AL8" s="52" t="s">
        <v>87</v>
      </c>
      <c r="AM8" s="53">
        <f>C8*Model!$B$24+D8*Model!$B$25+E8*Model!$B$26+F8*Model!$B$27+G8*Model!$B$28+H8*Model!$B$29+I8*Model!$B$30+J8*Model!$B$31+K8*Model!$B$32+L8*Model!$B$33</f>
        <v>-11.0999</v>
      </c>
      <c r="AN8" s="53">
        <f>(AA8-Model!$B$5)*Model!$B$36</f>
        <v>-10.23</v>
      </c>
      <c r="AO8" s="53">
        <f>(Model!$B$6-AB8)*Model!$B$37</f>
        <v>0</v>
      </c>
      <c r="AP8" s="53">
        <f>(AC8-Model!$B$7)*Model!$B$38</f>
        <v>0.75</v>
      </c>
      <c r="AQ8" s="53">
        <f>(AJ8-Model!$B$8)*Model!$B$39</f>
        <v>1.293354667</v>
      </c>
      <c r="AR8" s="53">
        <f t="shared" si="2"/>
        <v>-19.28654533</v>
      </c>
    </row>
    <row r="9" ht="14.25" customHeight="1">
      <c r="A9" s="54" t="s">
        <v>98</v>
      </c>
      <c r="B9" s="54" t="s">
        <v>99</v>
      </c>
      <c r="C9" s="56">
        <v>-1.0</v>
      </c>
      <c r="D9" s="55">
        <v>-0.13</v>
      </c>
      <c r="E9" s="56">
        <v>-1.0</v>
      </c>
      <c r="F9" s="56">
        <v>-2.0</v>
      </c>
      <c r="G9" s="55">
        <v>0.0</v>
      </c>
      <c r="H9" s="41"/>
      <c r="I9" s="56">
        <v>125.0</v>
      </c>
      <c r="J9" s="40"/>
      <c r="K9" s="42"/>
      <c r="L9" s="57">
        <v>2000.0</v>
      </c>
      <c r="M9" s="43">
        <v>-0.072</v>
      </c>
      <c r="N9" s="43">
        <v>49.0</v>
      </c>
      <c r="O9" s="43">
        <v>48.5</v>
      </c>
      <c r="P9" s="43">
        <v>1.0</v>
      </c>
      <c r="Q9" s="43">
        <v>0.35</v>
      </c>
      <c r="R9" s="43">
        <v>0.55</v>
      </c>
      <c r="S9" s="44">
        <v>3.0</v>
      </c>
      <c r="T9" s="67">
        <f>MAX(MIN($M9*Model!$A$13+$N9,$O9)*$P9,0)</f>
        <v>47.2</v>
      </c>
      <c r="U9" s="67">
        <f>MAX(MIN($M9*Model!$A$14+$N9,$O9)*$P9,0)</f>
        <v>43.6</v>
      </c>
      <c r="V9" s="67">
        <f>MAX(MIN($M9*Model!$A$15+$N9,$O9)*$P9,0)</f>
        <v>38.2</v>
      </c>
      <c r="W9" s="67">
        <f>MAX(MIN($M9*Model!$A$16+$N9,$O9)*$P9,0)</f>
        <v>31</v>
      </c>
      <c r="X9" s="67">
        <f>MAX(MIN($M9*Model!$A$17+$N9,$O9)*$P9,0)</f>
        <v>48.5</v>
      </c>
      <c r="Y9" s="67">
        <f>MAX(MIN($M9*Model!$A$18+$N9,$O9)*$P9,0)</f>
        <v>48.5</v>
      </c>
      <c r="Z9" s="67">
        <f>MAX(MIN($M9*Model!$A$19+$N9,$O9)*$P9,0)</f>
        <v>48.5</v>
      </c>
      <c r="AA9" s="67">
        <f>T9*Model!$B$13+U9*Model!$B$14+V9*Model!$B$15+W9*Model!$B$16+X9*Model!$B$17+Y9*Model!$B$18+Z9*Model!$B$19</f>
        <v>41.44</v>
      </c>
      <c r="AB9" s="46">
        <v>0.4</v>
      </c>
      <c r="AC9" s="47">
        <v>0.55</v>
      </c>
      <c r="AD9" s="48" t="str">
        <f>CONCATENATE("stat(bullet_velocity;",'10mm-ammo'!$AE9,";",'10mm-ammo'!$AF9,";",'10mm-ammo'!$AG9,";",'10mm-ammo'!$AH9,")")</f>
        <v>stat(bullet_velocity;0;0.25;500;2000)</v>
      </c>
      <c r="AE9" s="46">
        <v>0.0</v>
      </c>
      <c r="AF9" s="46">
        <v>0.25</v>
      </c>
      <c r="AG9" s="49">
        <v>500.0</v>
      </c>
      <c r="AH9" s="49">
        <v>2000.0</v>
      </c>
      <c r="AI9" s="68">
        <f>Model!$B$4+IF(I9="",0,I9)</f>
        <v>1275</v>
      </c>
      <c r="AJ9" s="67">
        <f t="shared" si="1"/>
        <v>0.1291666667</v>
      </c>
      <c r="AK9" s="51" t="s">
        <v>86</v>
      </c>
      <c r="AL9" s="69" t="s">
        <v>87</v>
      </c>
      <c r="AM9" s="53">
        <f>C9*Model!$B$24+D9*Model!$B$25+E9*Model!$B$26+F9*Model!$B$27+G9*Model!$B$28+H9*Model!$B$29+I9*Model!$B$30+J9*Model!$B$31+K9*Model!$B$32+L9*Model!$B$33</f>
        <v>4.225</v>
      </c>
      <c r="AN9" s="70">
        <f>(AA9-Model!$B$5)*Model!$B$36</f>
        <v>-12.84</v>
      </c>
      <c r="AO9" s="70">
        <f>(Model!$B$6-AB9)*Model!$B$37</f>
        <v>-0.3</v>
      </c>
      <c r="AP9" s="70">
        <f>(AC9-Model!$B$7)*Model!$B$38</f>
        <v>0.3</v>
      </c>
      <c r="AQ9" s="70">
        <f>(AJ9-Model!$B$8)*Model!$B$39</f>
        <v>-0.08333333333</v>
      </c>
      <c r="AR9" s="70">
        <f t="shared" si="2"/>
        <v>-8.698333333</v>
      </c>
    </row>
    <row r="10" ht="14.25" customHeight="1">
      <c r="A10" s="54" t="s">
        <v>100</v>
      </c>
      <c r="B10" s="54" t="s">
        <v>101</v>
      </c>
      <c r="C10" s="56">
        <v>-2.0</v>
      </c>
      <c r="D10" s="55">
        <v>0.05</v>
      </c>
      <c r="E10" s="56">
        <v>4.0</v>
      </c>
      <c r="F10" s="56">
        <v>5.0</v>
      </c>
      <c r="G10" s="55">
        <v>0.05</v>
      </c>
      <c r="H10" s="41"/>
      <c r="I10" s="56">
        <v>-50.0</v>
      </c>
      <c r="J10" s="40"/>
      <c r="K10" s="42"/>
      <c r="L10" s="57">
        <v>4000.0</v>
      </c>
      <c r="M10" s="43">
        <v>-0.1</v>
      </c>
      <c r="N10" s="66">
        <v>56.0</v>
      </c>
      <c r="O10" s="66">
        <v>55.0</v>
      </c>
      <c r="P10" s="43">
        <v>1.0</v>
      </c>
      <c r="Q10" s="44">
        <v>0.4</v>
      </c>
      <c r="R10" s="44">
        <v>0.6</v>
      </c>
      <c r="S10" s="44">
        <v>3.0</v>
      </c>
      <c r="T10" s="45">
        <f>MAX(MIN($M10*Model!$A$13+$N10,$O10)*$P10,0)</f>
        <v>53.5</v>
      </c>
      <c r="U10" s="45">
        <f>MAX(MIN($M10*Model!$A$14+$N10,$O10)*$P10,0)</f>
        <v>48.5</v>
      </c>
      <c r="V10" s="45">
        <f>MAX(MIN($M10*Model!$A$15+$N10,$O10)*$P10,0)</f>
        <v>41</v>
      </c>
      <c r="W10" s="45">
        <f>MAX(MIN($M10*Model!$A$16+$N10,$O10)*$P10,0)</f>
        <v>31</v>
      </c>
      <c r="X10" s="45">
        <f>MAX(MIN($M10*Model!$A$17+$N10,$O10)*$P10,0)</f>
        <v>55</v>
      </c>
      <c r="Y10" s="45">
        <f>MAX(MIN($M10*Model!$A$18+$N10,$O10)*$P10,0)</f>
        <v>55</v>
      </c>
      <c r="Z10" s="45">
        <f>MAX(MIN($M10*Model!$A$19+$N10,$O10)*$P10,0)</f>
        <v>55</v>
      </c>
      <c r="AA10" s="45">
        <f>T10*Model!$B$13+U10*Model!$B$14+V10*Model!$B$15+W10*Model!$B$16+X10*Model!$B$17+Y10*Model!$B$18+Z10*Model!$B$19</f>
        <v>45.5</v>
      </c>
      <c r="AB10" s="46">
        <v>0.55</v>
      </c>
      <c r="AC10" s="47">
        <v>0.5</v>
      </c>
      <c r="AD10" s="48" t="str">
        <f>CONCATENATE("stat(bullet_velocity;",'10mm-ammo'!$AE10,";",'10mm-ammo'!$AF10,";",'10mm-ammo'!$AG10,";",'10mm-ammo'!$AH10,")")</f>
        <v>stat(bullet_velocity;0.05;0.3;500;2000)</v>
      </c>
      <c r="AE10" s="46">
        <v>0.05</v>
      </c>
      <c r="AF10" s="46">
        <v>0.3</v>
      </c>
      <c r="AG10" s="49">
        <v>500.0</v>
      </c>
      <c r="AH10" s="49">
        <v>2000.0</v>
      </c>
      <c r="AI10" s="50">
        <f>Model!$B$4+IF(I10="",0,I10)</f>
        <v>1100</v>
      </c>
      <c r="AJ10" s="45">
        <f t="shared" si="1"/>
        <v>0.15</v>
      </c>
      <c r="AK10" s="51" t="s">
        <v>86</v>
      </c>
      <c r="AL10" s="52" t="s">
        <v>87</v>
      </c>
      <c r="AM10" s="53" t="str">
        <f>C10*Model!$B$24+D10*Model!$B$25+E10*Model!$B$26+F10*Model!$B$27+#REF!*Model!$B$28+G10*Model!$B$29+I10*Model!$B$30+J10*Model!$B$31+K10*Model!$B$32+L10*Model!$B$33</f>
        <v>#REF!</v>
      </c>
      <c r="AN10" s="53">
        <f>(AA10-Model!$B$5)*Model!$B$36</f>
        <v>-6.75</v>
      </c>
      <c r="AO10" s="53">
        <f>(Model!$B$6-AB10)*Model!$B$37</f>
        <v>0</v>
      </c>
      <c r="AP10" s="53">
        <f>(AC10-Model!$B$7)*Model!$B$38</f>
        <v>0.15</v>
      </c>
      <c r="AQ10" s="53">
        <f>(AJ10-Model!$B$8)*Model!$B$39</f>
        <v>0</v>
      </c>
      <c r="AR10" s="53" t="str">
        <f t="shared" si="2"/>
        <v>#REF!</v>
      </c>
    </row>
    <row r="11" ht="14.25" customHeight="1">
      <c r="A11" s="54" t="s">
        <v>102</v>
      </c>
      <c r="B11" s="54" t="s">
        <v>103</v>
      </c>
      <c r="C11" s="56">
        <v>-2.0</v>
      </c>
      <c r="D11" s="40">
        <v>0.0</v>
      </c>
      <c r="E11" s="56">
        <v>3.0</v>
      </c>
      <c r="F11" s="56">
        <v>4.0</v>
      </c>
      <c r="G11" s="55">
        <v>0.05</v>
      </c>
      <c r="H11" s="41"/>
      <c r="I11" s="56">
        <v>50.0</v>
      </c>
      <c r="J11" s="40"/>
      <c r="K11" s="42"/>
      <c r="L11" s="57">
        <v>3500.0</v>
      </c>
      <c r="M11" s="43">
        <v>-0.078</v>
      </c>
      <c r="N11" s="66">
        <v>52.0</v>
      </c>
      <c r="O11" s="43">
        <v>51.0</v>
      </c>
      <c r="P11" s="43">
        <v>1.0</v>
      </c>
      <c r="Q11" s="43">
        <v>0.35</v>
      </c>
      <c r="R11" s="43">
        <v>0.55</v>
      </c>
      <c r="S11" s="44">
        <v>3.0</v>
      </c>
      <c r="T11" s="45">
        <f>MAX(MIN($M11*Model!$A$13+$N11,$O11)*$P11,0)</f>
        <v>50.05</v>
      </c>
      <c r="U11" s="45">
        <f>MAX(MIN($M11*Model!$A$14+$N11,$O11)*$P11,0)</f>
        <v>46.15</v>
      </c>
      <c r="V11" s="45">
        <f>MAX(MIN($M11*Model!$A$15+$N11,$O11)*$P11,0)</f>
        <v>40.3</v>
      </c>
      <c r="W11" s="45">
        <f>MAX(MIN($M11*Model!$A$16+$N11,$O11)*$P11,0)</f>
        <v>32.5</v>
      </c>
      <c r="X11" s="45">
        <f>MAX(MIN($M11*Model!$A$17+$N11,$O11)*$P11,0)</f>
        <v>51</v>
      </c>
      <c r="Y11" s="45">
        <f>MAX(MIN($M11*Model!$A$18+$N11,$O11)*$P11,0)</f>
        <v>51</v>
      </c>
      <c r="Z11" s="45">
        <f>MAX(MIN($M11*Model!$A$19+$N11,$O11)*$P11,0)</f>
        <v>51</v>
      </c>
      <c r="AA11" s="45">
        <f>T11*Model!$B$13+U11*Model!$B$14+V11*Model!$B$15+W11*Model!$B$16+X11*Model!$B$17+Y11*Model!$B$18+Z11*Model!$B$19</f>
        <v>43.81</v>
      </c>
      <c r="AB11" s="46">
        <v>0.55</v>
      </c>
      <c r="AC11" s="47">
        <v>0.5</v>
      </c>
      <c r="AD11" s="48" t="str">
        <f>CONCATENATE("stat(bullet_velocity;",'10mm-ammo'!$AE11,";",'10mm-ammo'!$AF11,";",'10mm-ammo'!$AG11,";",'10mm-ammo'!$AH11,")")</f>
        <v>stat(bullet_velocity;0.05;0.3;500;2000)</v>
      </c>
      <c r="AE11" s="46">
        <v>0.05</v>
      </c>
      <c r="AF11" s="46">
        <v>0.3</v>
      </c>
      <c r="AG11" s="49">
        <v>500.0</v>
      </c>
      <c r="AH11" s="49">
        <v>2000.0</v>
      </c>
      <c r="AI11" s="50">
        <f>Model!$B$4+IF(I11="",0,I11)</f>
        <v>1200</v>
      </c>
      <c r="AJ11" s="45">
        <f t="shared" si="1"/>
        <v>0.1666666667</v>
      </c>
      <c r="AK11" s="51" t="s">
        <v>86</v>
      </c>
      <c r="AL11" s="52" t="s">
        <v>87</v>
      </c>
      <c r="AM11" s="53">
        <f>C11*Model!$B$24+D11*Model!$B$25+E11*Model!$B$26+F11*Model!$B$27+G11*Model!$B$28+H11*Model!$B$29+I11*Model!$B$30+J11*Model!$B$31+K11*Model!$B$32+L11*Model!$B$33</f>
        <v>-7.05</v>
      </c>
      <c r="AN11" s="53">
        <f>(AA11-Model!$B$5)*Model!$B$36</f>
        <v>-9.285</v>
      </c>
      <c r="AO11" s="53">
        <f>(Model!$B$6-AB11)*Model!$B$37</f>
        <v>0</v>
      </c>
      <c r="AP11" s="53">
        <f>(AC11-Model!$B$7)*Model!$B$38</f>
        <v>0.15</v>
      </c>
      <c r="AQ11" s="53">
        <f>(AJ11-Model!$B$8)*Model!$B$39</f>
        <v>0.06666666667</v>
      </c>
      <c r="AR11" s="53">
        <f t="shared" si="2"/>
        <v>-16.11833333</v>
      </c>
    </row>
    <row r="12" ht="14.25" customHeight="1">
      <c r="A12" s="54" t="s">
        <v>104</v>
      </c>
      <c r="B12" s="54" t="s">
        <v>105</v>
      </c>
      <c r="C12" s="56">
        <v>1.0</v>
      </c>
      <c r="D12" s="55">
        <v>0.11</v>
      </c>
      <c r="E12" s="56">
        <v>-4.0</v>
      </c>
      <c r="F12" s="56">
        <v>-2.0</v>
      </c>
      <c r="G12" s="55">
        <v>0.1</v>
      </c>
      <c r="H12" s="41"/>
      <c r="I12" s="56">
        <v>-125.0</v>
      </c>
      <c r="J12" s="40"/>
      <c r="K12" s="57">
        <v>-0.6</v>
      </c>
      <c r="L12" s="57">
        <v>1750.0</v>
      </c>
      <c r="M12" s="43">
        <v>-0.11</v>
      </c>
      <c r="N12" s="43">
        <v>52.5</v>
      </c>
      <c r="O12" s="43">
        <v>52.5</v>
      </c>
      <c r="P12" s="43">
        <v>1.0</v>
      </c>
      <c r="Q12" s="43">
        <v>0.3</v>
      </c>
      <c r="R12" s="43">
        <v>0.3</v>
      </c>
      <c r="S12" s="44">
        <v>3.0</v>
      </c>
      <c r="T12" s="45">
        <f>MAX(MIN($M12*Model!$A$13+$N12,$O12)*$P12,0)</f>
        <v>49.75</v>
      </c>
      <c r="U12" s="45">
        <f>MAX(MIN($M12*Model!$A$14+$N12,$O12)*$P12,0)</f>
        <v>44.25</v>
      </c>
      <c r="V12" s="45">
        <f>MAX(MIN($M12*Model!$A$15+$N12,$O12)*$P12,0)</f>
        <v>36</v>
      </c>
      <c r="W12" s="45">
        <f>MAX(MIN($M12*Model!$A$16+$N12,$O12)*$P12,0)</f>
        <v>25</v>
      </c>
      <c r="X12" s="45">
        <f>MAX(MIN($M12*Model!$A$17+$N12,$O12)*$P12,0)</f>
        <v>52.5</v>
      </c>
      <c r="Y12" s="45">
        <f>MAX(MIN($M12*Model!$A$18+$N12,$O12)*$P12,0)</f>
        <v>52.5</v>
      </c>
      <c r="Z12" s="45">
        <f>MAX(MIN($M12*Model!$A$19+$N12,$O12)*$P12,0)</f>
        <v>52.5</v>
      </c>
      <c r="AA12" s="45">
        <f>T12*Model!$B$13+U12*Model!$B$14+V12*Model!$B$15+W12*Model!$B$16+X12*Model!$B$17+Y12*Model!$B$18+Z12*Model!$B$19</f>
        <v>40.95</v>
      </c>
      <c r="AB12" s="46">
        <v>0.5</v>
      </c>
      <c r="AC12" s="47">
        <v>0.35</v>
      </c>
      <c r="AD12" s="48" t="str">
        <f>CONCATENATE("stat(bullet_velocity;",'10mm-ammo'!$AE12,";",'10mm-ammo'!$AF12,";",'10mm-ammo'!$AG12,";",'10mm-ammo'!$AH12,")")</f>
        <v>stat(bullet_velocity;0.1;0.25;500;2000)</v>
      </c>
      <c r="AE12" s="46">
        <v>0.1</v>
      </c>
      <c r="AF12" s="46">
        <v>0.25</v>
      </c>
      <c r="AG12" s="49">
        <v>500.0</v>
      </c>
      <c r="AH12" s="49">
        <v>2000.0</v>
      </c>
      <c r="AI12" s="50">
        <f>Model!$B$4+IF(I12="",0,I12)</f>
        <v>1025</v>
      </c>
      <c r="AJ12" s="45">
        <f t="shared" si="1"/>
        <v>0.1525</v>
      </c>
      <c r="AK12" s="51" t="s">
        <v>86</v>
      </c>
      <c r="AL12" s="52" t="s">
        <v>87</v>
      </c>
      <c r="AM12" s="53">
        <f>C12*Model!$B$24+D12*Model!$B$25+E12*Model!$B$26+F12*Model!$B$27+G12*Model!$B$28+H12*Model!$B$29+I12*Model!$B$30+J12*Model!$B$31+K12*Model!$B$32+L12*Model!$B$33</f>
        <v>4.575</v>
      </c>
      <c r="AN12" s="53">
        <f>(AA12-Model!$B$5)*Model!$B$36</f>
        <v>-13.575</v>
      </c>
      <c r="AO12" s="53">
        <f>(Model!$B$6-AB12)*Model!$B$37</f>
        <v>-0.1</v>
      </c>
      <c r="AP12" s="53">
        <f>(AC12-Model!$B$7)*Model!$B$38</f>
        <v>-0.3</v>
      </c>
      <c r="AQ12" s="53">
        <f>(AJ12-Model!$B$8)*Model!$B$39</f>
        <v>0.01</v>
      </c>
      <c r="AR12" s="53">
        <f t="shared" si="2"/>
        <v>-9.39</v>
      </c>
    </row>
    <row r="13" ht="14.25" customHeight="1">
      <c r="A13" s="54" t="s">
        <v>106</v>
      </c>
      <c r="B13" s="54" t="s">
        <v>107</v>
      </c>
      <c r="C13" s="56">
        <v>0.0</v>
      </c>
      <c r="D13" s="55">
        <v>-0.02</v>
      </c>
      <c r="E13" s="56">
        <v>-1.0</v>
      </c>
      <c r="F13" s="56">
        <v>-2.0</v>
      </c>
      <c r="G13" s="55">
        <v>0.0</v>
      </c>
      <c r="H13" s="41"/>
      <c r="I13" s="56">
        <v>-25.0</v>
      </c>
      <c r="J13" s="40"/>
      <c r="K13" s="42"/>
      <c r="L13" s="57">
        <v>1250.0</v>
      </c>
      <c r="M13" s="43">
        <v>-0.066</v>
      </c>
      <c r="N13" s="43">
        <v>48.5</v>
      </c>
      <c r="O13" s="43">
        <v>48.0</v>
      </c>
      <c r="P13" s="43">
        <v>1.0</v>
      </c>
      <c r="Q13" s="66">
        <v>0.35</v>
      </c>
      <c r="R13" s="66">
        <v>0.55</v>
      </c>
      <c r="S13" s="44">
        <v>3.0</v>
      </c>
      <c r="T13" s="45">
        <f>MAX(MIN($M13*Model!$A$13+$N13,$O13)*$P13,0)</f>
        <v>46.85</v>
      </c>
      <c r="U13" s="45">
        <f>MAX(MIN($M13*Model!$A$14+$N13,$O13)*$P13,0)</f>
        <v>43.55</v>
      </c>
      <c r="V13" s="45">
        <f>MAX(MIN($M13*Model!$A$15+$N13,$O13)*$P13,0)</f>
        <v>38.6</v>
      </c>
      <c r="W13" s="45">
        <f>MAX(MIN($M13*Model!$A$16+$N13,$O13)*$P13,0)</f>
        <v>32</v>
      </c>
      <c r="X13" s="45">
        <f>MAX(MIN($M13*Model!$A$17+$N13,$O13)*$P13,0)</f>
        <v>48</v>
      </c>
      <c r="Y13" s="45">
        <f>MAX(MIN($M13*Model!$A$18+$N13,$O13)*$P13,0)</f>
        <v>48</v>
      </c>
      <c r="Z13" s="45">
        <f>MAX(MIN($M13*Model!$A$19+$N13,$O13)*$P13,0)</f>
        <v>48</v>
      </c>
      <c r="AA13" s="45">
        <f>T13*Model!$B$13+U13*Model!$B$14+V13*Model!$B$15+W13*Model!$B$16+X13*Model!$B$17+Y13*Model!$B$18+Z13*Model!$B$19</f>
        <v>41.57</v>
      </c>
      <c r="AB13" s="46">
        <v>0.45</v>
      </c>
      <c r="AC13" s="47">
        <v>0.6</v>
      </c>
      <c r="AD13" s="48" t="str">
        <f>CONCATENATE("stat(bullet_velocity;",'10mm-ammo'!$AE13,";",'10mm-ammo'!$AF13,";",'10mm-ammo'!$AG13,";",'10mm-ammo'!$AH13,")")</f>
        <v>stat(bullet_velocity;0.15;0.55;500;2000)</v>
      </c>
      <c r="AE13" s="46">
        <v>0.15</v>
      </c>
      <c r="AF13" s="46">
        <v>0.55</v>
      </c>
      <c r="AG13" s="49">
        <v>500.0</v>
      </c>
      <c r="AH13" s="49">
        <v>2000.0</v>
      </c>
      <c r="AI13" s="50">
        <f>Model!$B$4+IF(I13="",0,I13)</f>
        <v>1125</v>
      </c>
      <c r="AJ13" s="45">
        <f t="shared" si="1"/>
        <v>0.3166666667</v>
      </c>
      <c r="AK13" s="51" t="s">
        <v>86</v>
      </c>
      <c r="AL13" s="52" t="s">
        <v>87</v>
      </c>
      <c r="AM13" s="53">
        <f>C13*Model!$B$24+D13*Model!$B$25+E13*Model!$B$26+F13*Model!$B$27+G13*Model!$B$28+H13*Model!$B$29+I13*Model!$B$30+J13*Model!$B$31+K13*Model!$B$32+L13*Model!$B$33</f>
        <v>2.275</v>
      </c>
      <c r="AN13" s="53">
        <f>(AA13-Model!$B$5)*Model!$B$36</f>
        <v>-12.645</v>
      </c>
      <c r="AO13" s="53">
        <f>(Model!$B$6-AB13)*Model!$B$37</f>
        <v>-0.2</v>
      </c>
      <c r="AP13" s="53">
        <f>(AC13-Model!$B$7)*Model!$B$38</f>
        <v>0.45</v>
      </c>
      <c r="AQ13" s="53">
        <f>(AJ13-Model!$B$8)*Model!$B$39</f>
        <v>0.6666666667</v>
      </c>
      <c r="AR13" s="53">
        <f t="shared" si="2"/>
        <v>-9.453333333</v>
      </c>
    </row>
    <row r="14" ht="14.25" customHeight="1">
      <c r="A14" s="54" t="s">
        <v>108</v>
      </c>
      <c r="B14" s="54" t="s">
        <v>109</v>
      </c>
      <c r="C14" s="56">
        <v>1.0</v>
      </c>
      <c r="D14" s="55">
        <v>-0.11</v>
      </c>
      <c r="E14" s="56">
        <v>-2.0</v>
      </c>
      <c r="F14" s="56">
        <v>-3.0</v>
      </c>
      <c r="G14" s="55">
        <v>-0.1</v>
      </c>
      <c r="H14" s="41"/>
      <c r="I14" s="56">
        <v>75.0</v>
      </c>
      <c r="J14" s="40"/>
      <c r="K14" s="42"/>
      <c r="L14" s="57">
        <v>1000.0</v>
      </c>
      <c r="M14" s="44">
        <v>-0.068</v>
      </c>
      <c r="N14" s="44">
        <v>48.5</v>
      </c>
      <c r="O14" s="44">
        <v>46.5</v>
      </c>
      <c r="P14" s="44">
        <v>1.0</v>
      </c>
      <c r="Q14" s="44">
        <v>0.3</v>
      </c>
      <c r="R14" s="44">
        <v>0.5</v>
      </c>
      <c r="S14" s="44">
        <v>3.0</v>
      </c>
      <c r="T14" s="45">
        <f>MAX(MIN($M14*Model!$A$13+$N14,$O14)*$P14,0)</f>
        <v>46.5</v>
      </c>
      <c r="U14" s="45">
        <f>MAX(MIN($M14*Model!$A$14+$N14,$O14)*$P14,0)</f>
        <v>43.4</v>
      </c>
      <c r="V14" s="45">
        <f>MAX(MIN($M14*Model!$A$15+$N14,$O14)*$P14,0)</f>
        <v>38.3</v>
      </c>
      <c r="W14" s="45">
        <f>MAX(MIN($M14*Model!$A$16+$N14,$O14)*$P14,0)</f>
        <v>31.5</v>
      </c>
      <c r="X14" s="45">
        <f>MAX(MIN($M14*Model!$A$17+$N14,$O14)*$P14,0)</f>
        <v>46.5</v>
      </c>
      <c r="Y14" s="45">
        <f>MAX(MIN($M14*Model!$A$18+$N14,$O14)*$P14,0)</f>
        <v>46.5</v>
      </c>
      <c r="Z14" s="45">
        <f>MAX(MIN($M14*Model!$A$19+$N14,$O14)*$P14,0)</f>
        <v>46.5</v>
      </c>
      <c r="AA14" s="45">
        <f>T14*Model!$B$13+U14*Model!$B$14+V14*Model!$B$15+W14*Model!$B$16+X14*Model!$B$17+Y14*Model!$B$18+Z14*Model!$B$19</f>
        <v>41.27</v>
      </c>
      <c r="AB14" s="46">
        <v>0.45</v>
      </c>
      <c r="AC14" s="47">
        <v>0.5</v>
      </c>
      <c r="AD14" s="48" t="str">
        <f>CONCATENATE("stat(bullet_velocity;",'10mm-ammo'!$AE14,";",'10mm-ammo'!$AF14,";",'10mm-ammo'!$AG14,";",'10mm-ammo'!$AH14,")")</f>
        <v>stat(bullet_velocity;0;0.1;500;2000)</v>
      </c>
      <c r="AE14" s="46">
        <v>0.0</v>
      </c>
      <c r="AF14" s="46">
        <v>0.1</v>
      </c>
      <c r="AG14" s="49">
        <v>500.0</v>
      </c>
      <c r="AH14" s="49">
        <v>2000.0</v>
      </c>
      <c r="AI14" s="50">
        <f>Model!$B$4+IF(I14="",0,I14)</f>
        <v>1225</v>
      </c>
      <c r="AJ14" s="45">
        <f t="shared" si="1"/>
        <v>0.04833333333</v>
      </c>
      <c r="AK14" s="51" t="s">
        <v>86</v>
      </c>
      <c r="AL14" s="52" t="s">
        <v>87</v>
      </c>
      <c r="AM14" s="53">
        <f>C14*Model!$B$24+D14*Model!$B$25+E14*Model!$B$26+F14*Model!$B$27+G14*Model!$B$28+H14*Model!$B$29+I14*Model!$B$30+J14*Model!$B$31+K14*Model!$B$32+L14*Model!$B$33</f>
        <v>7.975</v>
      </c>
      <c r="AN14" s="53">
        <f>(AA14-Model!$B$5)*Model!$B$36</f>
        <v>-13.095</v>
      </c>
      <c r="AO14" s="53">
        <f>(Model!$B$6-AB14)*Model!$B$37</f>
        <v>-0.2</v>
      </c>
      <c r="AP14" s="53">
        <f>(AC14-Model!$B$7)*Model!$B$38</f>
        <v>0.15</v>
      </c>
      <c r="AQ14" s="53">
        <f>(AJ14-Model!$B$8)*Model!$B$39</f>
        <v>-0.4066666667</v>
      </c>
      <c r="AR14" s="53">
        <f t="shared" si="2"/>
        <v>-5.576666667</v>
      </c>
    </row>
    <row r="15" ht="14.25" customHeight="1">
      <c r="A15" s="54" t="s">
        <v>110</v>
      </c>
      <c r="B15" s="54" t="s">
        <v>111</v>
      </c>
      <c r="C15" s="56">
        <v>2.0</v>
      </c>
      <c r="D15" s="55">
        <v>-0.09</v>
      </c>
      <c r="E15" s="56">
        <v>-3.0</v>
      </c>
      <c r="F15" s="56">
        <v>-3.0</v>
      </c>
      <c r="G15" s="55">
        <v>0.15</v>
      </c>
      <c r="H15" s="41"/>
      <c r="I15" s="56">
        <v>25.0</v>
      </c>
      <c r="J15" s="40"/>
      <c r="K15" s="42"/>
      <c r="L15" s="57">
        <v>750.0</v>
      </c>
      <c r="M15" s="66">
        <v>-0.074</v>
      </c>
      <c r="N15" s="44">
        <v>48.5</v>
      </c>
      <c r="O15" s="66">
        <v>48.5</v>
      </c>
      <c r="P15" s="44">
        <v>1.0</v>
      </c>
      <c r="Q15" s="44">
        <v>0.3</v>
      </c>
      <c r="R15" s="44">
        <v>0.5</v>
      </c>
      <c r="S15" s="44">
        <v>3.0</v>
      </c>
      <c r="T15" s="45">
        <f>MAX(MIN($M15*Model!$A$13+$N15,$O15)*$P15,0)</f>
        <v>46.65</v>
      </c>
      <c r="U15" s="45">
        <f>MAX(MIN($M15*Model!$A$14+$N15,$O15)*$P15,0)</f>
        <v>42.95</v>
      </c>
      <c r="V15" s="45">
        <f>MAX(MIN($M15*Model!$A$15+$N15,$O15)*$P15,0)</f>
        <v>37.4</v>
      </c>
      <c r="W15" s="45">
        <f>MAX(MIN($M15*Model!$A$16+$N15,$O15)*$P15,0)</f>
        <v>30</v>
      </c>
      <c r="X15" s="45">
        <f>MAX(MIN($M15*Model!$A$17+$N15,$O15)*$P15,0)</f>
        <v>48.5</v>
      </c>
      <c r="Y15" s="45">
        <f>MAX(MIN($M15*Model!$A$18+$N15,$O15)*$P15,0)</f>
        <v>48.5</v>
      </c>
      <c r="Z15" s="45">
        <f>MAX(MIN($M15*Model!$A$19+$N15,$O15)*$P15,0)</f>
        <v>48.5</v>
      </c>
      <c r="AA15" s="45">
        <f>T15*Model!$B$13+U15*Model!$B$14+V15*Model!$B$15+W15*Model!$B$16+X15*Model!$B$17+Y15*Model!$B$18+Z15*Model!$B$19</f>
        <v>40.73</v>
      </c>
      <c r="AB15" s="46">
        <v>0.5</v>
      </c>
      <c r="AC15" s="47">
        <v>1.0</v>
      </c>
      <c r="AD15" s="48" t="str">
        <f>CONCATENATE("stat(bullet_velocity;",'10mm-ammo'!$AE15,";",'10mm-ammo'!$AF15,";",'10mm-ammo'!$AG15,";",'10mm-ammo'!$AH15,")")</f>
        <v>stat(bullet_velocity;0.15;0.55;500;2000)</v>
      </c>
      <c r="AE15" s="46">
        <v>0.15</v>
      </c>
      <c r="AF15" s="46">
        <v>0.55</v>
      </c>
      <c r="AG15" s="49">
        <v>500.0</v>
      </c>
      <c r="AH15" s="49">
        <v>2000.0</v>
      </c>
      <c r="AI15" s="50">
        <f>Model!$B$4+IF(I15="",0,I15)</f>
        <v>1175</v>
      </c>
      <c r="AJ15" s="45">
        <f t="shared" si="1"/>
        <v>0.33</v>
      </c>
      <c r="AK15" s="51" t="s">
        <v>86</v>
      </c>
      <c r="AL15" s="52" t="s">
        <v>87</v>
      </c>
      <c r="AM15" s="53">
        <f>C15*Model!$B$24+D15*Model!$B$25+E15*Model!$B$26+F15*Model!$B$27+G15*Model!$B$28+H15*Model!$B$29+I15*Model!$B$30+J15*Model!$B$31+K15*Model!$B$32+L15*Model!$B$33</f>
        <v>6.625</v>
      </c>
      <c r="AN15" s="53">
        <f>(AA15-Model!$B$5)*Model!$B$36</f>
        <v>-13.905</v>
      </c>
      <c r="AO15" s="53">
        <f>(Model!$B$6-AB15)*Model!$B$37</f>
        <v>-0.1</v>
      </c>
      <c r="AP15" s="53">
        <f>(AC15-Model!$B$7)*Model!$B$38</f>
        <v>1.65</v>
      </c>
      <c r="AQ15" s="53">
        <f>(AJ15-Model!$B$8)*Model!$B$39</f>
        <v>0.72</v>
      </c>
      <c r="AR15" s="53">
        <f t="shared" si="2"/>
        <v>-5.01</v>
      </c>
    </row>
    <row r="16" ht="14.2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</row>
    <row r="17" ht="14.2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</row>
    <row r="18" ht="14.2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</row>
    <row r="19" ht="14.2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</row>
    <row r="20" ht="14.2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</row>
    <row r="21" ht="14.2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</row>
    <row r="22" ht="14.2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</row>
    <row r="23" ht="14.2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2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</row>
    <row r="24" ht="14.2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</row>
    <row r="25" ht="14.2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</row>
    <row r="26" ht="14.2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</row>
    <row r="27" ht="14.2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</row>
    <row r="28" ht="14.2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</row>
    <row r="29" ht="14.2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</row>
    <row r="30" ht="14.2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</row>
    <row r="31" ht="14.2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</row>
    <row r="32" ht="14.2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</row>
    <row r="33" ht="14.2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</row>
    <row r="34" ht="14.2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</row>
    <row r="35" ht="14.2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</row>
    <row r="36" ht="14.2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</row>
    <row r="37" ht="14.2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</row>
    <row r="38" ht="14.2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</row>
    <row r="39" ht="14.2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</row>
    <row r="40" ht="14.2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</row>
    <row r="41" ht="14.2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</row>
    <row r="42" ht="14.2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</row>
    <row r="43" ht="14.2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</row>
    <row r="44" ht="14.2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</row>
    <row r="45" ht="14.2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</row>
    <row r="46" ht="14.2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</row>
    <row r="47" ht="14.2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</row>
    <row r="48" ht="14.2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</row>
    <row r="49" ht="14.2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</row>
    <row r="50" ht="14.2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</row>
    <row r="51" ht="14.2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</row>
    <row r="52" ht="14.2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</row>
    <row r="53" ht="14.2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</row>
    <row r="54" ht="14.2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</row>
    <row r="55" ht="14.2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</row>
    <row r="56" ht="14.2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</row>
    <row r="57" ht="14.2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1"/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</row>
    <row r="58" ht="14.2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</row>
    <row r="59" ht="14.2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</row>
    <row r="60" ht="14.2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</row>
    <row r="61" ht="14.2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</row>
    <row r="62" ht="14.2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</row>
    <row r="63" ht="14.2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</row>
    <row r="64" ht="14.2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</row>
    <row r="65" ht="14.2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</row>
    <row r="66" ht="14.2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</row>
    <row r="67" ht="14.2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</row>
    <row r="68" ht="14.2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</row>
    <row r="69" ht="14.2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</row>
    <row r="70" ht="14.2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</row>
    <row r="71" ht="14.2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</row>
    <row r="72" ht="14.2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</row>
    <row r="73" ht="14.2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</row>
    <row r="74" ht="14.2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</row>
    <row r="75" ht="14.2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</row>
    <row r="76" ht="14.2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</row>
    <row r="77" ht="14.2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</row>
    <row r="78" ht="14.2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</row>
    <row r="79" ht="14.2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</row>
    <row r="80" ht="14.2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</row>
    <row r="81" ht="14.2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</row>
    <row r="82" ht="14.2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</row>
    <row r="83" ht="14.2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</row>
    <row r="84" ht="14.2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</row>
    <row r="85" ht="14.2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</row>
    <row r="86" ht="14.2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</row>
    <row r="87" ht="14.2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</row>
    <row r="88" ht="14.2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</row>
    <row r="89" ht="14.2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</row>
    <row r="90" ht="14.2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</row>
    <row r="91" ht="14.2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</row>
    <row r="92" ht="14.2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</row>
    <row r="93" ht="14.2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</row>
    <row r="94" ht="14.2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</row>
    <row r="95" ht="14.2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</row>
    <row r="96" ht="14.2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</row>
    <row r="97" ht="14.2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</row>
    <row r="98" ht="14.2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</row>
    <row r="99" ht="14.2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</row>
    <row r="100" ht="14.2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</row>
    <row r="101" ht="14.25" customHeight="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</row>
    <row r="102" ht="14.25" customHeight="1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</row>
    <row r="103" ht="14.25" customHeight="1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</row>
    <row r="104" ht="14.25" customHeight="1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</row>
    <row r="105" ht="14.25" customHeight="1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</row>
    <row r="106" ht="14.25" customHeight="1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</row>
    <row r="107" ht="14.25" customHeight="1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</row>
    <row r="108" ht="14.25" customHeight="1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</row>
    <row r="109" ht="14.25" customHeight="1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</row>
    <row r="110" ht="14.25" customHeight="1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</row>
    <row r="111" ht="14.25" customHeight="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</row>
    <row r="112" ht="14.25" customHeight="1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</row>
    <row r="113" ht="14.25" customHeight="1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</row>
    <row r="114" ht="14.25" customHeight="1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</row>
    <row r="115" ht="14.25" customHeight="1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</row>
    <row r="116" ht="14.25" customHeight="1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</row>
    <row r="117" ht="14.25" customHeight="1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</row>
    <row r="118" ht="14.25" customHeight="1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</row>
    <row r="119" ht="14.25" customHeight="1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</row>
    <row r="120" ht="14.25" customHeight="1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</row>
    <row r="121" ht="14.25" customHeight="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</row>
    <row r="122" ht="14.25" customHeight="1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</row>
    <row r="123" ht="14.25" customHeight="1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</row>
    <row r="124" ht="14.25" customHeight="1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</row>
    <row r="125" ht="14.25" customHeight="1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</row>
    <row r="126" ht="14.25" customHeight="1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</row>
    <row r="127" ht="14.25" customHeight="1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</row>
    <row r="128" ht="14.25" customHeight="1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</row>
    <row r="129" ht="14.25" customHeight="1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</row>
    <row r="130" ht="14.25" customHeight="1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</row>
    <row r="131" ht="14.25" customHeight="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</row>
    <row r="132" ht="14.25" customHeight="1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</row>
    <row r="133" ht="14.25" customHeight="1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</row>
    <row r="134" ht="14.25" customHeight="1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</row>
    <row r="135" ht="14.25" customHeight="1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</row>
    <row r="136" ht="14.25" customHeight="1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</row>
    <row r="137" ht="14.25" customHeight="1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71"/>
      <c r="AB137" s="71"/>
      <c r="AC137" s="71"/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</row>
    <row r="138" ht="14.25" customHeight="1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71"/>
      <c r="AB138" s="71"/>
      <c r="AC138" s="71"/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</row>
    <row r="139" ht="14.25" customHeight="1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71"/>
      <c r="AB139" s="71"/>
      <c r="AC139" s="71"/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</row>
    <row r="140" ht="14.25" customHeight="1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71"/>
      <c r="AB140" s="71"/>
      <c r="AC140" s="71"/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</row>
    <row r="141" ht="14.25" customHeight="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71"/>
      <c r="AB141" s="71"/>
      <c r="AC141" s="71"/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</row>
    <row r="142" ht="14.25" customHeight="1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</row>
    <row r="143" ht="14.25" customHeight="1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71"/>
      <c r="AB143" s="71"/>
      <c r="AC143" s="71"/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</row>
    <row r="144" ht="14.25" customHeight="1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71"/>
      <c r="AB144" s="71"/>
      <c r="AC144" s="71"/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</row>
    <row r="145" ht="14.25" customHeight="1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71"/>
      <c r="AB145" s="71"/>
      <c r="AC145" s="71"/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</row>
    <row r="146" ht="14.25" customHeight="1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71"/>
      <c r="AB146" s="71"/>
      <c r="AC146" s="71"/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</row>
    <row r="147" ht="14.25" customHeight="1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71"/>
      <c r="AB147" s="71"/>
      <c r="AC147" s="71"/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</row>
    <row r="148" ht="14.25" customHeight="1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</row>
    <row r="149" ht="14.25" customHeight="1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71"/>
      <c r="AB149" s="71"/>
      <c r="AC149" s="71"/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</row>
    <row r="150" ht="14.25" customHeight="1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</row>
    <row r="151" ht="14.25" customHeight="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71"/>
      <c r="AB151" s="71"/>
      <c r="AC151" s="71"/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</row>
    <row r="152" ht="14.25" customHeight="1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71"/>
      <c r="AB152" s="71"/>
      <c r="AC152" s="71"/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</row>
    <row r="153" ht="14.25" customHeight="1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</row>
    <row r="154" ht="14.25" customHeight="1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71"/>
      <c r="AB154" s="71"/>
      <c r="AC154" s="71"/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</row>
    <row r="155" ht="14.25" customHeight="1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71"/>
      <c r="AB155" s="71"/>
      <c r="AC155" s="71"/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</row>
    <row r="156" ht="14.25" customHeight="1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71"/>
      <c r="AB156" s="71"/>
      <c r="AC156" s="71"/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</row>
    <row r="157" ht="14.25" customHeight="1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</row>
    <row r="158" ht="14.25" customHeight="1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</row>
    <row r="159" ht="14.25" customHeight="1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</row>
    <row r="160" ht="14.25" customHeight="1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</row>
    <row r="161" ht="14.25" customHeight="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</row>
    <row r="162" ht="14.25" customHeight="1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</row>
    <row r="163" ht="14.25" customHeight="1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</row>
    <row r="164" ht="14.25" customHeight="1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</row>
    <row r="165" ht="14.25" customHeight="1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</row>
    <row r="166" ht="14.25" customHeight="1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</row>
    <row r="167" ht="14.25" customHeight="1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71"/>
      <c r="AB167" s="71"/>
      <c r="AC167" s="71"/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</row>
    <row r="168" ht="14.25" customHeight="1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71"/>
      <c r="AB168" s="71"/>
      <c r="AC168" s="71"/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</row>
    <row r="169" ht="14.25" customHeight="1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71"/>
      <c r="AB169" s="71"/>
      <c r="AC169" s="71"/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</row>
    <row r="170" ht="14.25" customHeight="1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71"/>
      <c r="AB170" s="71"/>
      <c r="AC170" s="71"/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</row>
    <row r="171" ht="14.25" customHeight="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71"/>
      <c r="AB171" s="71"/>
      <c r="AC171" s="71"/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</row>
    <row r="172" ht="14.25" customHeight="1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</row>
    <row r="173" ht="14.25" customHeight="1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71"/>
      <c r="AB173" s="71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</row>
    <row r="174" ht="14.25" customHeight="1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</row>
    <row r="175" ht="14.25" customHeight="1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71"/>
      <c r="AB175" s="71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</row>
    <row r="176" ht="14.25" customHeight="1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71"/>
      <c r="AB176" s="71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</row>
    <row r="177" ht="14.25" customHeight="1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</row>
    <row r="178" ht="14.25" customHeight="1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</row>
    <row r="179" ht="14.25" customHeight="1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</row>
    <row r="180" ht="14.25" customHeight="1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</row>
    <row r="181" ht="14.25" customHeight="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</row>
    <row r="182" ht="14.25" customHeight="1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</row>
    <row r="183" ht="14.25" customHeight="1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</row>
    <row r="184" ht="14.25" customHeight="1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</row>
    <row r="185" ht="14.25" customHeight="1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</row>
    <row r="186" ht="14.25" customHeight="1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</row>
    <row r="187" ht="14.25" customHeight="1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</row>
    <row r="188" ht="14.25" customHeight="1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</row>
    <row r="189" ht="14.25" customHeight="1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</row>
    <row r="190" ht="14.25" customHeight="1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</row>
    <row r="191" ht="14.25" customHeight="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</row>
    <row r="192" ht="14.25" customHeight="1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71"/>
      <c r="AB192" s="71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</row>
    <row r="193" ht="14.25" customHeight="1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71"/>
      <c r="AB193" s="71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</row>
    <row r="194" ht="14.25" customHeight="1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71"/>
      <c r="AB194" s="71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</row>
    <row r="195" ht="14.25" customHeight="1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71"/>
      <c r="AB195" s="71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</row>
    <row r="196" ht="14.25" customHeight="1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</row>
    <row r="197" ht="14.25" customHeight="1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</row>
    <row r="198" ht="14.25" customHeight="1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</row>
    <row r="199" ht="14.25" customHeight="1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</row>
    <row r="200" ht="14.25" customHeight="1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71"/>
      <c r="AB200" s="71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</row>
    <row r="201" ht="14.25" customHeight="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</row>
    <row r="202" ht="14.25" customHeight="1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</row>
    <row r="203" ht="14.25" customHeight="1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</row>
    <row r="204" ht="14.25" customHeight="1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</row>
    <row r="205" ht="14.25" customHeight="1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</row>
    <row r="206" ht="14.25" customHeight="1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</row>
    <row r="207" ht="14.25" customHeight="1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</row>
    <row r="208" ht="14.25" customHeight="1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</row>
    <row r="209" ht="14.25" customHeight="1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</row>
    <row r="210" ht="14.25" customHeight="1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</row>
    <row r="211" ht="14.25" customHeight="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</row>
    <row r="212" ht="14.25" customHeight="1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</row>
    <row r="213" ht="14.25" customHeight="1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</row>
    <row r="214" ht="14.25" customHeight="1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</row>
    <row r="215" ht="14.25" customHeight="1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</row>
    <row r="216" ht="14.25" customHeight="1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</row>
    <row r="217" ht="14.25" customHeight="1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71"/>
      <c r="AB217" s="71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</row>
    <row r="218" ht="14.25" customHeight="1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71"/>
      <c r="AB218" s="71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</row>
    <row r="219" ht="14.25" customHeight="1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71"/>
      <c r="AB219" s="71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</row>
    <row r="220" ht="14.25" customHeight="1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71"/>
      <c r="AB220" s="71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</row>
    <row r="221" ht="15.75" customHeight="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71"/>
      <c r="AB221" s="71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</row>
    <row r="222" ht="15.75" customHeight="1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</row>
    <row r="223" ht="15.75" customHeight="1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</row>
    <row r="224" ht="15.75" customHeight="1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</row>
    <row r="225" ht="15.75" customHeight="1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</row>
    <row r="226" ht="15.75" customHeight="1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71"/>
      <c r="AB226" s="71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</row>
    <row r="227" ht="15.75" customHeight="1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71"/>
      <c r="AB227" s="71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</row>
    <row r="228" ht="15.75" customHeight="1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71"/>
      <c r="AB228" s="71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</row>
    <row r="229" ht="15.75" customHeight="1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71"/>
      <c r="AB229" s="71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</row>
    <row r="230" ht="15.75" customHeight="1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71"/>
      <c r="AB230" s="71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</row>
    <row r="231" ht="15.75" customHeight="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71"/>
      <c r="AB231" s="71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</row>
    <row r="232" ht="15.75" customHeight="1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71"/>
      <c r="AB232" s="71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</row>
    <row r="233" ht="15.75" customHeight="1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</row>
    <row r="234" ht="15.75" customHeight="1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71"/>
      <c r="AB234" s="71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</row>
    <row r="235" ht="15.75" customHeight="1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71"/>
      <c r="AB235" s="71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</row>
    <row r="236" ht="15.75" customHeight="1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71"/>
      <c r="AB236" s="71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</row>
    <row r="237" ht="15.75" customHeight="1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71"/>
      <c r="AR237" s="71"/>
    </row>
    <row r="238" ht="15.75" customHeight="1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71"/>
      <c r="AB238" s="71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71"/>
      <c r="AR238" s="71"/>
    </row>
    <row r="239" ht="15.75" customHeight="1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71"/>
      <c r="AR239" s="71"/>
    </row>
    <row r="240" ht="15.75" customHeight="1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</row>
    <row r="241" ht="15.75" customHeight="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71"/>
      <c r="AB241" s="71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</row>
    <row r="242" ht="15.75" customHeight="1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71"/>
      <c r="AR242" s="71"/>
    </row>
    <row r="243" ht="15.75" customHeight="1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</row>
    <row r="244" ht="15.75" customHeight="1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71"/>
      <c r="AB244" s="71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71"/>
      <c r="AR244" s="71"/>
    </row>
    <row r="245" ht="15.75" customHeight="1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71"/>
      <c r="AR245" s="71"/>
    </row>
    <row r="246" ht="15.75" customHeight="1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71"/>
      <c r="AR246" s="71"/>
    </row>
    <row r="247" ht="15.75" customHeight="1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71"/>
      <c r="AB247" s="71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</row>
    <row r="248" ht="15.75" customHeight="1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</row>
    <row r="249" ht="15.75" customHeight="1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71"/>
      <c r="AR249" s="71"/>
    </row>
    <row r="250" ht="15.75" customHeight="1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71"/>
      <c r="AB250" s="71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</row>
    <row r="251" ht="15.75" customHeight="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71"/>
      <c r="AB251" s="71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</row>
    <row r="252" ht="15.75" customHeight="1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71"/>
      <c r="AB252" s="71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</row>
    <row r="253" ht="15.75" customHeight="1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</row>
    <row r="254" ht="15.7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71"/>
      <c r="AB254" s="71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71"/>
      <c r="AR254" s="71"/>
    </row>
    <row r="255" ht="15.7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71"/>
      <c r="AB255" s="71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71"/>
      <c r="AR255" s="71"/>
    </row>
    <row r="256" ht="15.7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71"/>
      <c r="AB256" s="71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71"/>
      <c r="AR256" s="71"/>
    </row>
    <row r="257" ht="15.7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71"/>
      <c r="AB257" s="71"/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71"/>
      <c r="AR257" s="71"/>
    </row>
    <row r="258" ht="15.7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  <c r="AA258" s="71"/>
      <c r="AB258" s="71"/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71"/>
      <c r="AR258" s="71"/>
    </row>
    <row r="259" ht="15.7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  <c r="AA259" s="71"/>
      <c r="AB259" s="71"/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71"/>
      <c r="AR259" s="71"/>
    </row>
    <row r="260" ht="15.7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  <c r="AA260" s="71"/>
      <c r="AB260" s="71"/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</row>
    <row r="261" ht="15.7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  <c r="AA261" s="71"/>
      <c r="AB261" s="71"/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71"/>
      <c r="AR261" s="71"/>
    </row>
    <row r="262" ht="15.7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  <c r="AA262" s="71"/>
      <c r="AB262" s="71"/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71"/>
      <c r="AR262" s="71"/>
    </row>
    <row r="263" ht="15.7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  <c r="AA263" s="71"/>
      <c r="AB263" s="71"/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71"/>
      <c r="AR263" s="71"/>
    </row>
    <row r="264" ht="15.7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  <c r="AA264" s="71"/>
      <c r="AB264" s="71"/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</row>
    <row r="265" ht="15.7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</row>
    <row r="266" ht="15.7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71"/>
      <c r="AB266" s="71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</row>
    <row r="267" ht="15.7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71"/>
      <c r="AB267" s="71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</row>
    <row r="268" ht="15.7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  <c r="AA268" s="71"/>
      <c r="AB268" s="71"/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71"/>
      <c r="AR268" s="71"/>
    </row>
    <row r="269" ht="15.7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  <c r="AA269" s="71"/>
      <c r="AB269" s="71"/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71"/>
      <c r="AR269" s="71"/>
    </row>
    <row r="270" ht="15.7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  <c r="AA270" s="71"/>
      <c r="AB270" s="71"/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71"/>
      <c r="AR270" s="71"/>
    </row>
    <row r="271" ht="15.7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  <c r="AA271" s="71"/>
      <c r="AB271" s="71"/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71"/>
      <c r="AR271" s="71"/>
    </row>
    <row r="272" ht="15.7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  <c r="AA272" s="71"/>
      <c r="AB272" s="71"/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</row>
    <row r="273" ht="15.7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  <c r="AA273" s="71"/>
      <c r="AB273" s="71"/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</row>
    <row r="274" ht="15.7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71"/>
      <c r="AB274" s="71"/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</row>
    <row r="275" ht="15.7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  <c r="AA275" s="71"/>
      <c r="AB275" s="71"/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</row>
    <row r="276" ht="15.7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  <c r="AA276" s="71"/>
      <c r="AB276" s="71"/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</row>
    <row r="277" ht="15.7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  <c r="AA277" s="71"/>
      <c r="AB277" s="71"/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  <c r="AA278" s="71"/>
      <c r="AB278" s="71"/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  <c r="AA279" s="71"/>
      <c r="AB279" s="71"/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  <c r="AA280" s="71"/>
      <c r="AB280" s="71"/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  <c r="AA281" s="71"/>
      <c r="AB281" s="71"/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  <c r="AA282" s="71"/>
      <c r="AB282" s="71"/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71"/>
      <c r="AB283" s="71"/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  <c r="AA284" s="71"/>
      <c r="AB284" s="71"/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  <c r="AA285" s="71"/>
      <c r="AB285" s="71"/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  <c r="AA286" s="71"/>
      <c r="AB286" s="71"/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  <c r="AA287" s="71"/>
      <c r="AB287" s="71"/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  <c r="AA288" s="71"/>
      <c r="AB288" s="71"/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  <c r="AA289" s="71"/>
      <c r="AB289" s="71"/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  <c r="AA290" s="71"/>
      <c r="AB290" s="71"/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  <c r="AA291" s="71"/>
      <c r="AB291" s="71"/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  <c r="AA292" s="71"/>
      <c r="AB292" s="71"/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71"/>
      <c r="AB302" s="71"/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  <c r="AA303" s="71"/>
      <c r="AB303" s="71"/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  <c r="AA304" s="71"/>
      <c r="AB304" s="71"/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  <c r="AA305" s="71"/>
      <c r="AB305" s="71"/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  <c r="AA306" s="71"/>
      <c r="AB306" s="71"/>
      <c r="AC306" s="71"/>
      <c r="AD306" s="71"/>
      <c r="AE306" s="71"/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  <c r="AA313" s="71"/>
      <c r="AB313" s="71"/>
      <c r="AC313" s="71"/>
      <c r="AD313" s="71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  <c r="AA314" s="71"/>
      <c r="AB314" s="71"/>
      <c r="AC314" s="71"/>
      <c r="AD314" s="71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  <c r="AA315" s="71"/>
      <c r="AB315" s="71"/>
      <c r="AC315" s="71"/>
      <c r="AD315" s="71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  <c r="AA316" s="71"/>
      <c r="AB316" s="71"/>
      <c r="AC316" s="71"/>
      <c r="AD316" s="71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  <c r="AA317" s="71"/>
      <c r="AB317" s="71"/>
      <c r="AC317" s="71"/>
      <c r="AD317" s="71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  <c r="AA318" s="71"/>
      <c r="AB318" s="71"/>
      <c r="AC318" s="71"/>
      <c r="AD318" s="71"/>
      <c r="AE318" s="71"/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  <c r="AA319" s="71"/>
      <c r="AB319" s="71"/>
      <c r="AC319" s="71"/>
      <c r="AD319" s="71"/>
      <c r="AE319" s="71"/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  <c r="AA320" s="71"/>
      <c r="AB320" s="71"/>
      <c r="AC320" s="71"/>
      <c r="AD320" s="71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  <c r="AA321" s="71"/>
      <c r="AB321" s="71"/>
      <c r="AC321" s="71"/>
      <c r="AD321" s="71"/>
      <c r="AE321" s="71"/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  <c r="AA322" s="71"/>
      <c r="AB322" s="71"/>
      <c r="AC322" s="71"/>
      <c r="AD322" s="71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  <c r="AA323" s="71"/>
      <c r="AB323" s="71"/>
      <c r="AC323" s="71"/>
      <c r="AD323" s="71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  <c r="AA324" s="71"/>
      <c r="AB324" s="71"/>
      <c r="AC324" s="71"/>
      <c r="AD324" s="71"/>
      <c r="AE324" s="71"/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  <c r="AA325" s="71"/>
      <c r="AB325" s="71"/>
      <c r="AC325" s="71"/>
      <c r="AD325" s="71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  <c r="AA326" s="71"/>
      <c r="AB326" s="71"/>
      <c r="AC326" s="71"/>
      <c r="AD326" s="71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  <c r="AA327" s="71"/>
      <c r="AB327" s="71"/>
      <c r="AC327" s="71"/>
      <c r="AD327" s="71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  <c r="AA328" s="71"/>
      <c r="AB328" s="71"/>
      <c r="AC328" s="71"/>
      <c r="AD328" s="71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  <c r="AA329" s="71"/>
      <c r="AB329" s="71"/>
      <c r="AC329" s="71"/>
      <c r="AD329" s="71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  <c r="AA330" s="71"/>
      <c r="AB330" s="71"/>
      <c r="AC330" s="71"/>
      <c r="AD330" s="71"/>
      <c r="AE330" s="71"/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  <c r="AA331" s="71"/>
      <c r="AB331" s="71"/>
      <c r="AC331" s="71"/>
      <c r="AD331" s="71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  <c r="AA332" s="71"/>
      <c r="AB332" s="71"/>
      <c r="AC332" s="71"/>
      <c r="AD332" s="71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71"/>
      <c r="AB333" s="71"/>
      <c r="AC333" s="71"/>
      <c r="AD333" s="71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71"/>
      <c r="AB334" s="71"/>
      <c r="AC334" s="71"/>
      <c r="AD334" s="71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71"/>
      <c r="AB335" s="71"/>
      <c r="AC335" s="71"/>
      <c r="AD335" s="71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  <c r="AA336" s="71"/>
      <c r="AB336" s="71"/>
      <c r="AC336" s="71"/>
      <c r="AD336" s="71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  <c r="AA337" s="71"/>
      <c r="AB337" s="71"/>
      <c r="AC337" s="71"/>
      <c r="AD337" s="71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  <c r="AA338" s="71"/>
      <c r="AB338" s="71"/>
      <c r="AC338" s="71"/>
      <c r="AD338" s="71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  <c r="AA339" s="71"/>
      <c r="AB339" s="71"/>
      <c r="AC339" s="71"/>
      <c r="AD339" s="71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  <c r="AA340" s="71"/>
      <c r="AB340" s="71"/>
      <c r="AC340" s="71"/>
      <c r="AD340" s="71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  <c r="AA341" s="71"/>
      <c r="AB341" s="71"/>
      <c r="AC341" s="71"/>
      <c r="AD341" s="71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  <c r="AA342" s="71"/>
      <c r="AB342" s="71"/>
      <c r="AC342" s="71"/>
      <c r="AD342" s="71"/>
      <c r="AE342" s="71"/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  <c r="AA343" s="71"/>
      <c r="AB343" s="71"/>
      <c r="AC343" s="71"/>
      <c r="AD343" s="71"/>
      <c r="AE343" s="71"/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  <c r="AA344" s="71"/>
      <c r="AB344" s="71"/>
      <c r="AC344" s="71"/>
      <c r="AD344" s="71"/>
      <c r="AE344" s="71"/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  <c r="AA345" s="71"/>
      <c r="AB345" s="71"/>
      <c r="AC345" s="71"/>
      <c r="AD345" s="71"/>
      <c r="AE345" s="71"/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  <c r="AA346" s="71"/>
      <c r="AB346" s="71"/>
      <c r="AC346" s="71"/>
      <c r="AD346" s="71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71"/>
      <c r="AB347" s="71"/>
      <c r="AC347" s="71"/>
      <c r="AD347" s="71"/>
      <c r="AE347" s="71"/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  <c r="AA348" s="71"/>
      <c r="AB348" s="71"/>
      <c r="AC348" s="71"/>
      <c r="AD348" s="71"/>
      <c r="AE348" s="71"/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  <c r="AA349" s="71"/>
      <c r="AB349" s="71"/>
      <c r="AC349" s="71"/>
      <c r="AD349" s="71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  <c r="AA350" s="71"/>
      <c r="AB350" s="71"/>
      <c r="AC350" s="71"/>
      <c r="AD350" s="71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  <c r="AA351" s="71"/>
      <c r="AB351" s="71"/>
      <c r="AC351" s="71"/>
      <c r="AD351" s="71"/>
      <c r="AE351" s="71"/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  <c r="AA352" s="71"/>
      <c r="AB352" s="71"/>
      <c r="AC352" s="71"/>
      <c r="AD352" s="71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  <c r="AA353" s="71"/>
      <c r="AB353" s="71"/>
      <c r="AC353" s="71"/>
      <c r="AD353" s="71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  <c r="AA354" s="71"/>
      <c r="AB354" s="71"/>
      <c r="AC354" s="71"/>
      <c r="AD354" s="71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  <c r="AA355" s="71"/>
      <c r="AB355" s="71"/>
      <c r="AC355" s="71"/>
      <c r="AD355" s="71"/>
      <c r="AE355" s="71"/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  <c r="AA356" s="71"/>
      <c r="AB356" s="71"/>
      <c r="AC356" s="71"/>
      <c r="AD356" s="71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  <c r="AA357" s="71"/>
      <c r="AB357" s="71"/>
      <c r="AC357" s="71"/>
      <c r="AD357" s="71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  <c r="AA358" s="71"/>
      <c r="AB358" s="71"/>
      <c r="AC358" s="71"/>
      <c r="AD358" s="71"/>
      <c r="AE358" s="71"/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71"/>
      <c r="AB359" s="71"/>
      <c r="AC359" s="71"/>
      <c r="AD359" s="71"/>
      <c r="AE359" s="71"/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  <c r="AA360" s="71"/>
      <c r="AB360" s="71"/>
      <c r="AC360" s="71"/>
      <c r="AD360" s="71"/>
      <c r="AE360" s="71"/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  <c r="AA361" s="71"/>
      <c r="AB361" s="71"/>
      <c r="AC361" s="71"/>
      <c r="AD361" s="71"/>
      <c r="AE361" s="71"/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  <c r="AA362" s="71"/>
      <c r="AB362" s="71"/>
      <c r="AC362" s="71"/>
      <c r="AD362" s="71"/>
      <c r="AE362" s="71"/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  <c r="AA363" s="71"/>
      <c r="AB363" s="71"/>
      <c r="AC363" s="71"/>
      <c r="AD363" s="71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  <c r="AA364" s="71"/>
      <c r="AB364" s="71"/>
      <c r="AC364" s="71"/>
      <c r="AD364" s="71"/>
      <c r="AE364" s="71"/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  <c r="AA365" s="71"/>
      <c r="AB365" s="71"/>
      <c r="AC365" s="71"/>
      <c r="AD365" s="71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  <c r="AA366" s="71"/>
      <c r="AB366" s="71"/>
      <c r="AC366" s="71"/>
      <c r="AD366" s="71"/>
      <c r="AE366" s="71"/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71"/>
      <c r="AB367" s="71"/>
      <c r="AC367" s="71"/>
      <c r="AD367" s="71"/>
      <c r="AE367" s="71"/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71"/>
      <c r="AB368" s="71"/>
      <c r="AC368" s="71"/>
      <c r="AD368" s="71"/>
      <c r="AE368" s="71"/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71"/>
      <c r="AB369" s="71"/>
      <c r="AC369" s="71"/>
      <c r="AD369" s="71"/>
      <c r="AE369" s="71"/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  <c r="AA370" s="71"/>
      <c r="AB370" s="71"/>
      <c r="AC370" s="71"/>
      <c r="AD370" s="71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71"/>
      <c r="AB371" s="71"/>
      <c r="AC371" s="71"/>
      <c r="AD371" s="71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  <c r="AA372" s="71"/>
      <c r="AB372" s="71"/>
      <c r="AC372" s="71"/>
      <c r="AD372" s="71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  <c r="AA373" s="71"/>
      <c r="AB373" s="71"/>
      <c r="AC373" s="71"/>
      <c r="AD373" s="71"/>
      <c r="AE373" s="71"/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  <c r="AA374" s="71"/>
      <c r="AB374" s="71"/>
      <c r="AC374" s="71"/>
      <c r="AD374" s="71"/>
      <c r="AE374" s="71"/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  <c r="AA375" s="71"/>
      <c r="AB375" s="71"/>
      <c r="AC375" s="71"/>
      <c r="AD375" s="71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  <c r="AA376" s="71"/>
      <c r="AB376" s="71"/>
      <c r="AC376" s="71"/>
      <c r="AD376" s="71"/>
      <c r="AE376" s="71"/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  <c r="AA377" s="71"/>
      <c r="AB377" s="71"/>
      <c r="AC377" s="71"/>
      <c r="AD377" s="71"/>
      <c r="AE377" s="71"/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  <c r="AA378" s="71"/>
      <c r="AB378" s="71"/>
      <c r="AC378" s="71"/>
      <c r="AD378" s="71"/>
      <c r="AE378" s="71"/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  <c r="AA379" s="71"/>
      <c r="AB379" s="71"/>
      <c r="AC379" s="71"/>
      <c r="AD379" s="71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71"/>
      <c r="AB380" s="71"/>
      <c r="AC380" s="71"/>
      <c r="AD380" s="71"/>
      <c r="AE380" s="71"/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  <c r="AA381" s="71"/>
      <c r="AB381" s="71"/>
      <c r="AC381" s="71"/>
      <c r="AD381" s="71"/>
      <c r="AE381" s="71"/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  <c r="AA382" s="71"/>
      <c r="AB382" s="71"/>
      <c r="AC382" s="71"/>
      <c r="AD382" s="71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  <c r="AA383" s="71"/>
      <c r="AB383" s="71"/>
      <c r="AC383" s="71"/>
      <c r="AD383" s="71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  <c r="AA384" s="71"/>
      <c r="AB384" s="71"/>
      <c r="AC384" s="71"/>
      <c r="AD384" s="71"/>
      <c r="AE384" s="71"/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  <c r="AA385" s="71"/>
      <c r="AB385" s="71"/>
      <c r="AC385" s="71"/>
      <c r="AD385" s="71"/>
      <c r="AE385" s="71"/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  <c r="AA386" s="71"/>
      <c r="AB386" s="71"/>
      <c r="AC386" s="71"/>
      <c r="AD386" s="71"/>
      <c r="AE386" s="71"/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  <c r="AA387" s="71"/>
      <c r="AB387" s="71"/>
      <c r="AC387" s="71"/>
      <c r="AD387" s="71"/>
      <c r="AE387" s="71"/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  <c r="AA388" s="71"/>
      <c r="AB388" s="71"/>
      <c r="AC388" s="71"/>
      <c r="AD388" s="71"/>
      <c r="AE388" s="71"/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71"/>
      <c r="AB389" s="71"/>
      <c r="AC389" s="71"/>
      <c r="AD389" s="71"/>
      <c r="AE389" s="71"/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  <c r="AA390" s="71"/>
      <c r="AB390" s="71"/>
      <c r="AC390" s="71"/>
      <c r="AD390" s="71"/>
      <c r="AE390" s="71"/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  <c r="AA391" s="71"/>
      <c r="AB391" s="71"/>
      <c r="AC391" s="71"/>
      <c r="AD391" s="71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  <c r="AA392" s="71"/>
      <c r="AB392" s="71"/>
      <c r="AC392" s="71"/>
      <c r="AD392" s="71"/>
      <c r="AE392" s="71"/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  <c r="AA393" s="71"/>
      <c r="AB393" s="71"/>
      <c r="AC393" s="71"/>
      <c r="AD393" s="71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  <c r="AA394" s="71"/>
      <c r="AB394" s="71"/>
      <c r="AC394" s="71"/>
      <c r="AD394" s="71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  <c r="AA395" s="71"/>
      <c r="AB395" s="71"/>
      <c r="AC395" s="71"/>
      <c r="AD395" s="71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  <c r="AA396" s="71"/>
      <c r="AB396" s="71"/>
      <c r="AC396" s="71"/>
      <c r="AD396" s="71"/>
      <c r="AE396" s="71"/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  <c r="AA397" s="71"/>
      <c r="AB397" s="71"/>
      <c r="AC397" s="71"/>
      <c r="AD397" s="71"/>
      <c r="AE397" s="71"/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  <c r="AA398" s="71"/>
      <c r="AB398" s="71"/>
      <c r="AC398" s="71"/>
      <c r="AD398" s="71"/>
      <c r="AE398" s="71"/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  <c r="AA399" s="71"/>
      <c r="AB399" s="71"/>
      <c r="AC399" s="71"/>
      <c r="AD399" s="71"/>
      <c r="AE399" s="71"/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  <c r="AA400" s="71"/>
      <c r="AB400" s="71"/>
      <c r="AC400" s="71"/>
      <c r="AD400" s="71"/>
      <c r="AE400" s="71"/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71"/>
      <c r="AB401" s="71"/>
      <c r="AC401" s="71"/>
      <c r="AD401" s="71"/>
      <c r="AE401" s="71"/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71"/>
      <c r="AB402" s="71"/>
      <c r="AC402" s="71"/>
      <c r="AD402" s="71"/>
      <c r="AE402" s="71"/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71"/>
      <c r="AB403" s="71"/>
      <c r="AC403" s="71"/>
      <c r="AD403" s="71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  <c r="AA404" s="71"/>
      <c r="AB404" s="71"/>
      <c r="AC404" s="71"/>
      <c r="AD404" s="71"/>
      <c r="AE404" s="71"/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  <c r="AA405" s="71"/>
      <c r="AB405" s="71"/>
      <c r="AC405" s="71"/>
      <c r="AD405" s="71"/>
      <c r="AE405" s="71"/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  <c r="AA406" s="71"/>
      <c r="AB406" s="71"/>
      <c r="AC406" s="71"/>
      <c r="AD406" s="71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  <c r="AA407" s="71"/>
      <c r="AB407" s="71"/>
      <c r="AC407" s="71"/>
      <c r="AD407" s="71"/>
      <c r="AE407" s="71"/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  <c r="AA408" s="71"/>
      <c r="AB408" s="71"/>
      <c r="AC408" s="71"/>
      <c r="AD408" s="71"/>
      <c r="AE408" s="71"/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  <c r="AA409" s="71"/>
      <c r="AB409" s="71"/>
      <c r="AC409" s="71"/>
      <c r="AD409" s="71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  <c r="AA410" s="71"/>
      <c r="AB410" s="71"/>
      <c r="AC410" s="71"/>
      <c r="AD410" s="71"/>
      <c r="AE410" s="71"/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  <c r="AA411" s="71"/>
      <c r="AB411" s="71"/>
      <c r="AC411" s="71"/>
      <c r="AD411" s="71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  <c r="AA412" s="71"/>
      <c r="AB412" s="71"/>
      <c r="AC412" s="71"/>
      <c r="AD412" s="71"/>
      <c r="AE412" s="71"/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  <c r="AA413" s="71"/>
      <c r="AB413" s="71"/>
      <c r="AC413" s="71"/>
      <c r="AD413" s="71"/>
      <c r="AE413" s="71"/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  <c r="AA414" s="71"/>
      <c r="AB414" s="71"/>
      <c r="AC414" s="71"/>
      <c r="AD414" s="71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  <c r="AA415" s="71"/>
      <c r="AB415" s="71"/>
      <c r="AC415" s="71"/>
      <c r="AD415" s="71"/>
      <c r="AE415" s="71"/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  <c r="AA416" s="71"/>
      <c r="AB416" s="71"/>
      <c r="AC416" s="71"/>
      <c r="AD416" s="71"/>
      <c r="AE416" s="71"/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  <c r="AA417" s="71"/>
      <c r="AB417" s="71"/>
      <c r="AC417" s="71"/>
      <c r="AD417" s="71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  <c r="AA418" s="71"/>
      <c r="AB418" s="71"/>
      <c r="AC418" s="71"/>
      <c r="AD418" s="71"/>
      <c r="AE418" s="71"/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  <c r="AA419" s="71"/>
      <c r="AB419" s="71"/>
      <c r="AC419" s="71"/>
      <c r="AD419" s="71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  <c r="AA420" s="71"/>
      <c r="AB420" s="71"/>
      <c r="AC420" s="71"/>
      <c r="AD420" s="71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  <c r="AA421" s="71"/>
      <c r="AB421" s="71"/>
      <c r="AC421" s="71"/>
      <c r="AD421" s="71"/>
      <c r="AE421" s="71"/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  <c r="AA422" s="71"/>
      <c r="AB422" s="71"/>
      <c r="AC422" s="71"/>
      <c r="AD422" s="71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  <c r="AA423" s="71"/>
      <c r="AB423" s="71"/>
      <c r="AC423" s="71"/>
      <c r="AD423" s="71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  <c r="AA424" s="71"/>
      <c r="AB424" s="71"/>
      <c r="AC424" s="71"/>
      <c r="AD424" s="71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  <c r="AA425" s="71"/>
      <c r="AB425" s="71"/>
      <c r="AC425" s="71"/>
      <c r="AD425" s="71"/>
      <c r="AE425" s="71"/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  <c r="AA426" s="71"/>
      <c r="AB426" s="71"/>
      <c r="AC426" s="71"/>
      <c r="AD426" s="71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  <c r="AA427" s="71"/>
      <c r="AB427" s="71"/>
      <c r="AC427" s="71"/>
      <c r="AD427" s="71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</row>
    <row r="428" ht="15.75" customHeight="1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  <c r="AA428" s="71"/>
      <c r="AB428" s="71"/>
      <c r="AC428" s="71"/>
      <c r="AD428" s="71"/>
      <c r="AE428" s="71"/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</row>
    <row r="429" ht="15.75" customHeight="1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  <c r="AA429" s="71"/>
      <c r="AB429" s="71"/>
      <c r="AC429" s="71"/>
      <c r="AD429" s="71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</row>
    <row r="430" ht="15.75" customHeight="1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  <c r="AA430" s="71"/>
      <c r="AB430" s="71"/>
      <c r="AC430" s="71"/>
      <c r="AD430" s="71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</row>
    <row r="431" ht="15.75" customHeight="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  <c r="AA431" s="71"/>
      <c r="AB431" s="71"/>
      <c r="AC431" s="71"/>
      <c r="AD431" s="71"/>
      <c r="AE431" s="71"/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</row>
    <row r="432" ht="15.75" customHeight="1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  <c r="AA432" s="71"/>
      <c r="AB432" s="71"/>
      <c r="AC432" s="71"/>
      <c r="AD432" s="71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</row>
    <row r="433" ht="15.75" customHeight="1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  <c r="AA433" s="71"/>
      <c r="AB433" s="71"/>
      <c r="AC433" s="71"/>
      <c r="AD433" s="71"/>
      <c r="AE433" s="71"/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</row>
    <row r="434" ht="15.75" customHeight="1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  <c r="AA434" s="71"/>
      <c r="AB434" s="71"/>
      <c r="AC434" s="71"/>
      <c r="AD434" s="71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</row>
    <row r="435" ht="15.75" customHeight="1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  <c r="AA435" s="71"/>
      <c r="AB435" s="71"/>
      <c r="AC435" s="71"/>
      <c r="AD435" s="71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</row>
    <row r="436" ht="15.75" customHeight="1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  <c r="AA436" s="71"/>
      <c r="AB436" s="71"/>
      <c r="AC436" s="71"/>
      <c r="AD436" s="71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</row>
    <row r="437" ht="15.75" customHeight="1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  <c r="AA437" s="71"/>
      <c r="AB437" s="71"/>
      <c r="AC437" s="71"/>
      <c r="AD437" s="71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</row>
    <row r="438" ht="15.75" customHeight="1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  <c r="AA438" s="71"/>
      <c r="AB438" s="71"/>
      <c r="AC438" s="71"/>
      <c r="AD438" s="71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</row>
    <row r="439" ht="15.75" customHeight="1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  <c r="AA439" s="71"/>
      <c r="AB439" s="71"/>
      <c r="AC439" s="71"/>
      <c r="AD439" s="71"/>
      <c r="AE439" s="71"/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</row>
    <row r="440" ht="15.75" customHeight="1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  <c r="AA440" s="71"/>
      <c r="AB440" s="71"/>
      <c r="AC440" s="71"/>
      <c r="AD440" s="71"/>
      <c r="AE440" s="71"/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</row>
    <row r="441" ht="15.75" customHeight="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  <c r="AA441" s="71"/>
      <c r="AB441" s="71"/>
      <c r="AC441" s="71"/>
      <c r="AD441" s="71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</row>
    <row r="442" ht="15.75" customHeight="1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  <c r="AA442" s="71"/>
      <c r="AB442" s="71"/>
      <c r="AC442" s="71"/>
      <c r="AD442" s="71"/>
      <c r="AE442" s="71"/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</row>
    <row r="443" ht="15.75" customHeight="1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  <c r="AA443" s="71"/>
      <c r="AB443" s="71"/>
      <c r="AC443" s="71"/>
      <c r="AD443" s="71"/>
      <c r="AE443" s="71"/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</row>
    <row r="444" ht="15.75" customHeight="1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  <c r="AA444" s="71"/>
      <c r="AB444" s="71"/>
      <c r="AC444" s="71"/>
      <c r="AD444" s="71"/>
      <c r="AE444" s="71"/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</row>
    <row r="445" ht="15.75" customHeight="1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  <c r="AA445" s="71"/>
      <c r="AB445" s="71"/>
      <c r="AC445" s="71"/>
      <c r="AD445" s="71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</row>
    <row r="446" ht="15.75" customHeight="1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  <c r="AA446" s="71"/>
      <c r="AB446" s="71"/>
      <c r="AC446" s="71"/>
      <c r="AD446" s="71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</row>
    <row r="447" ht="15.75" customHeight="1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  <c r="AA447" s="71"/>
      <c r="AB447" s="71"/>
      <c r="AC447" s="71"/>
      <c r="AD447" s="71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</row>
    <row r="448" ht="15.75" customHeight="1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  <c r="AA448" s="71"/>
      <c r="AB448" s="71"/>
      <c r="AC448" s="71"/>
      <c r="AD448" s="71"/>
      <c r="AE448" s="71"/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</row>
    <row r="449" ht="15.75" customHeight="1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  <c r="AA449" s="71"/>
      <c r="AB449" s="71"/>
      <c r="AC449" s="71"/>
      <c r="AD449" s="71"/>
      <c r="AE449" s="71"/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</row>
    <row r="450" ht="15.75" customHeight="1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  <c r="AA450" s="71"/>
      <c r="AB450" s="71"/>
      <c r="AC450" s="71"/>
      <c r="AD450" s="71"/>
      <c r="AE450" s="71"/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</row>
    <row r="451" ht="15.75" customHeight="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  <c r="AA451" s="71"/>
      <c r="AB451" s="71"/>
      <c r="AC451" s="71"/>
      <c r="AD451" s="71"/>
      <c r="AE451" s="71"/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</row>
    <row r="452" ht="15.75" customHeight="1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  <c r="AA452" s="71"/>
      <c r="AB452" s="71"/>
      <c r="AC452" s="71"/>
      <c r="AD452" s="71"/>
      <c r="AE452" s="71"/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</row>
    <row r="453" ht="15.75" customHeight="1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  <c r="AA453" s="71"/>
      <c r="AB453" s="71"/>
      <c r="AC453" s="71"/>
      <c r="AD453" s="71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</row>
    <row r="454" ht="15.75" customHeight="1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  <c r="AA454" s="71"/>
      <c r="AB454" s="71"/>
      <c r="AC454" s="71"/>
      <c r="AD454" s="71"/>
      <c r="AE454" s="71"/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</row>
    <row r="455" ht="15.75" customHeight="1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  <c r="AA455" s="71"/>
      <c r="AB455" s="71"/>
      <c r="AC455" s="71"/>
      <c r="AD455" s="71"/>
      <c r="AE455" s="71"/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</row>
    <row r="456" ht="15.75" customHeight="1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  <c r="AA456" s="71"/>
      <c r="AB456" s="71"/>
      <c r="AC456" s="71"/>
      <c r="AD456" s="71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</row>
    <row r="457" ht="15.75" customHeight="1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  <c r="AA457" s="71"/>
      <c r="AB457" s="71"/>
      <c r="AC457" s="71"/>
      <c r="AD457" s="71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</row>
    <row r="458" ht="15.75" customHeight="1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  <c r="AA458" s="71"/>
      <c r="AB458" s="71"/>
      <c r="AC458" s="71"/>
      <c r="AD458" s="71"/>
      <c r="AE458" s="71"/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</row>
    <row r="459" ht="15.75" customHeight="1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</row>
    <row r="460" ht="15.75" customHeight="1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  <c r="AA460" s="71"/>
      <c r="AB460" s="71"/>
      <c r="AC460" s="71"/>
      <c r="AD460" s="71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</row>
    <row r="461" ht="15.75" customHeight="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  <c r="AA461" s="71"/>
      <c r="AB461" s="71"/>
      <c r="AC461" s="71"/>
      <c r="AD461" s="71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</row>
    <row r="462" ht="15.75" customHeight="1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  <c r="AA462" s="71"/>
      <c r="AB462" s="71"/>
      <c r="AC462" s="71"/>
      <c r="AD462" s="71"/>
      <c r="AE462" s="71"/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</row>
    <row r="463" ht="15.75" customHeight="1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  <c r="AA463" s="71"/>
      <c r="AB463" s="71"/>
      <c r="AC463" s="71"/>
      <c r="AD463" s="71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</row>
    <row r="464" ht="15.75" customHeight="1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  <c r="AA464" s="71"/>
      <c r="AB464" s="71"/>
      <c r="AC464" s="71"/>
      <c r="AD464" s="71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</row>
    <row r="465" ht="15.75" customHeight="1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  <c r="AA465" s="71"/>
      <c r="AB465" s="71"/>
      <c r="AC465" s="71"/>
      <c r="AD465" s="71"/>
      <c r="AE465" s="71"/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</row>
    <row r="466" ht="15.75" customHeight="1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  <c r="AA466" s="71"/>
      <c r="AB466" s="71"/>
      <c r="AC466" s="71"/>
      <c r="AD466" s="71"/>
      <c r="AE466" s="71"/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</row>
    <row r="467" ht="15.75" customHeight="1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  <c r="AA467" s="71"/>
      <c r="AB467" s="71"/>
      <c r="AC467" s="71"/>
      <c r="AD467" s="71"/>
      <c r="AE467" s="71"/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</row>
    <row r="468" ht="15.75" customHeight="1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  <c r="AA468" s="71"/>
      <c r="AB468" s="71"/>
      <c r="AC468" s="71"/>
      <c r="AD468" s="71"/>
      <c r="AE468" s="71"/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</row>
    <row r="469" ht="15.75" customHeight="1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  <c r="AA469" s="71"/>
      <c r="AB469" s="71"/>
      <c r="AC469" s="71"/>
      <c r="AD469" s="71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</row>
    <row r="470" ht="15.75" customHeight="1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  <c r="AA470" s="71"/>
      <c r="AB470" s="71"/>
      <c r="AC470" s="71"/>
      <c r="AD470" s="71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</row>
    <row r="471" ht="15.75" customHeight="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  <c r="AA471" s="71"/>
      <c r="AB471" s="71"/>
      <c r="AC471" s="71"/>
      <c r="AD471" s="71"/>
      <c r="AE471" s="71"/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</row>
    <row r="472" ht="15.75" customHeight="1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  <c r="AA472" s="71"/>
      <c r="AB472" s="71"/>
      <c r="AC472" s="71"/>
      <c r="AD472" s="71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</row>
    <row r="473" ht="15.75" customHeight="1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  <c r="AA473" s="71"/>
      <c r="AB473" s="71"/>
      <c r="AC473" s="71"/>
      <c r="AD473" s="71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</row>
    <row r="474" ht="15.75" customHeight="1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  <c r="AA474" s="71"/>
      <c r="AB474" s="71"/>
      <c r="AC474" s="71"/>
      <c r="AD474" s="71"/>
      <c r="AE474" s="71"/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</row>
    <row r="475" ht="15.75" customHeight="1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  <c r="AA475" s="71"/>
      <c r="AB475" s="71"/>
      <c r="AC475" s="71"/>
      <c r="AD475" s="71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</row>
    <row r="476" ht="15.75" customHeight="1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  <c r="AA476" s="71"/>
      <c r="AB476" s="71"/>
      <c r="AC476" s="71"/>
      <c r="AD476" s="71"/>
      <c r="AE476" s="71"/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</row>
    <row r="477" ht="15.75" customHeight="1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  <c r="AA477" s="71"/>
      <c r="AB477" s="71"/>
      <c r="AC477" s="71"/>
      <c r="AD477" s="71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</row>
    <row r="478" ht="15.75" customHeight="1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  <c r="AA478" s="71"/>
      <c r="AB478" s="71"/>
      <c r="AC478" s="71"/>
      <c r="AD478" s="71"/>
      <c r="AE478" s="71"/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</row>
    <row r="479" ht="15.75" customHeight="1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  <c r="AA479" s="71"/>
      <c r="AB479" s="71"/>
      <c r="AC479" s="71"/>
      <c r="AD479" s="71"/>
      <c r="AE479" s="71"/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</row>
    <row r="480" ht="15.75" customHeight="1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  <c r="AA480" s="71"/>
      <c r="AB480" s="71"/>
      <c r="AC480" s="71"/>
      <c r="AD480" s="71"/>
      <c r="AE480" s="71"/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</row>
    <row r="481" ht="15.75" customHeight="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  <c r="AA481" s="71"/>
      <c r="AB481" s="71"/>
      <c r="AC481" s="71"/>
      <c r="AD481" s="71"/>
      <c r="AE481" s="71"/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</row>
    <row r="482" ht="15.75" customHeight="1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  <c r="AA482" s="71"/>
      <c r="AB482" s="71"/>
      <c r="AC482" s="71"/>
      <c r="AD482" s="71"/>
      <c r="AE482" s="71"/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</row>
    <row r="483" ht="15.75" customHeight="1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  <c r="AA483" s="71"/>
      <c r="AB483" s="71"/>
      <c r="AC483" s="71"/>
      <c r="AD483" s="71"/>
      <c r="AE483" s="71"/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</row>
    <row r="484" ht="15.75" customHeight="1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  <c r="AA484" s="71"/>
      <c r="AB484" s="71"/>
      <c r="AC484" s="71"/>
      <c r="AD484" s="71"/>
      <c r="AE484" s="71"/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</row>
    <row r="485" ht="15.75" customHeight="1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  <c r="AA485" s="71"/>
      <c r="AB485" s="71"/>
      <c r="AC485" s="71"/>
      <c r="AD485" s="71"/>
      <c r="AE485" s="71"/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</row>
    <row r="486" ht="15.75" customHeight="1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  <c r="AA486" s="71"/>
      <c r="AB486" s="71"/>
      <c r="AC486" s="71"/>
      <c r="AD486" s="71"/>
      <c r="AE486" s="71"/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</row>
    <row r="487" ht="15.75" customHeight="1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  <c r="AA487" s="71"/>
      <c r="AB487" s="71"/>
      <c r="AC487" s="71"/>
      <c r="AD487" s="71"/>
      <c r="AE487" s="71"/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</row>
    <row r="488" ht="15.75" customHeight="1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  <c r="AA488" s="71"/>
      <c r="AB488" s="71"/>
      <c r="AC488" s="71"/>
      <c r="AD488" s="71"/>
      <c r="AE488" s="71"/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</row>
    <row r="489" ht="15.75" customHeight="1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  <c r="AA489" s="71"/>
      <c r="AB489" s="71"/>
      <c r="AC489" s="71"/>
      <c r="AD489" s="71"/>
      <c r="AE489" s="71"/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</row>
    <row r="490" ht="15.75" customHeight="1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  <c r="AA490" s="71"/>
      <c r="AB490" s="71"/>
      <c r="AC490" s="71"/>
      <c r="AD490" s="71"/>
      <c r="AE490" s="71"/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</row>
    <row r="491" ht="15.75" customHeight="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  <c r="AA491" s="71"/>
      <c r="AB491" s="71"/>
      <c r="AC491" s="71"/>
      <c r="AD491" s="71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</row>
    <row r="492" ht="15.75" customHeight="1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  <c r="AA492" s="71"/>
      <c r="AB492" s="71"/>
      <c r="AC492" s="71"/>
      <c r="AD492" s="71"/>
      <c r="AE492" s="71"/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</row>
    <row r="493" ht="15.75" customHeight="1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  <c r="AA493" s="71"/>
      <c r="AB493" s="71"/>
      <c r="AC493" s="71"/>
      <c r="AD493" s="71"/>
      <c r="AE493" s="71"/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</row>
    <row r="494" ht="15.75" customHeight="1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  <c r="AA494" s="71"/>
      <c r="AB494" s="71"/>
      <c r="AC494" s="71"/>
      <c r="AD494" s="71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</row>
    <row r="495" ht="15.75" customHeight="1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  <c r="AA495" s="71"/>
      <c r="AB495" s="71"/>
      <c r="AC495" s="71"/>
      <c r="AD495" s="71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</row>
    <row r="496" ht="15.75" customHeight="1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  <c r="AA496" s="71"/>
      <c r="AB496" s="71"/>
      <c r="AC496" s="71"/>
      <c r="AD496" s="71"/>
      <c r="AE496" s="71"/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</row>
    <row r="497" ht="15.75" customHeight="1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  <c r="AA497" s="71"/>
      <c r="AB497" s="71"/>
      <c r="AC497" s="71"/>
      <c r="AD497" s="71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</row>
    <row r="498" ht="15.75" customHeight="1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  <c r="AA498" s="71"/>
      <c r="AB498" s="71"/>
      <c r="AC498" s="71"/>
      <c r="AD498" s="71"/>
      <c r="AE498" s="71"/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</row>
    <row r="499" ht="15.75" customHeight="1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  <c r="AA499" s="71"/>
      <c r="AB499" s="71"/>
      <c r="AC499" s="71"/>
      <c r="AD499" s="71"/>
      <c r="AE499" s="71"/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</row>
    <row r="500" ht="15.75" customHeight="1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  <c r="AA500" s="71"/>
      <c r="AB500" s="71"/>
      <c r="AC500" s="71"/>
      <c r="AD500" s="71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</row>
    <row r="501" ht="15.75" customHeight="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  <c r="AA501" s="71"/>
      <c r="AB501" s="71"/>
      <c r="AC501" s="71"/>
      <c r="AD501" s="71"/>
      <c r="AE501" s="71"/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</row>
    <row r="502" ht="15.75" customHeight="1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</row>
    <row r="503" ht="15.75" customHeight="1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  <c r="AA503" s="71"/>
      <c r="AB503" s="71"/>
      <c r="AC503" s="71"/>
      <c r="AD503" s="71"/>
      <c r="AE503" s="71"/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</row>
    <row r="504" ht="15.75" customHeight="1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  <c r="AA504" s="71"/>
      <c r="AB504" s="71"/>
      <c r="AC504" s="71"/>
      <c r="AD504" s="71"/>
      <c r="AE504" s="71"/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</row>
    <row r="505" ht="15.75" customHeight="1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  <c r="AA505" s="71"/>
      <c r="AB505" s="71"/>
      <c r="AC505" s="71"/>
      <c r="AD505" s="71"/>
      <c r="AE505" s="71"/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</row>
    <row r="506" ht="15.75" customHeight="1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  <c r="AA506" s="71"/>
      <c r="AB506" s="71"/>
      <c r="AC506" s="71"/>
      <c r="AD506" s="71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</row>
    <row r="507" ht="15.75" customHeight="1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  <c r="AA507" s="71"/>
      <c r="AB507" s="71"/>
      <c r="AC507" s="71"/>
      <c r="AD507" s="71"/>
      <c r="AE507" s="71"/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</row>
    <row r="508" ht="15.75" customHeight="1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  <c r="AA508" s="71"/>
      <c r="AB508" s="71"/>
      <c r="AC508" s="71"/>
      <c r="AD508" s="71"/>
      <c r="AE508" s="71"/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</row>
    <row r="509" ht="15.75" customHeight="1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  <c r="AA509" s="71"/>
      <c r="AB509" s="71"/>
      <c r="AC509" s="71"/>
      <c r="AD509" s="71"/>
      <c r="AE509" s="71"/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</row>
    <row r="510" ht="15.75" customHeight="1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  <c r="AA510" s="71"/>
      <c r="AB510" s="71"/>
      <c r="AC510" s="71"/>
      <c r="AD510" s="71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</row>
    <row r="511" ht="15.75" customHeight="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  <c r="AA511" s="71"/>
      <c r="AB511" s="71"/>
      <c r="AC511" s="71"/>
      <c r="AD511" s="71"/>
      <c r="AE511" s="71"/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</row>
    <row r="512" ht="15.75" customHeight="1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  <c r="AA512" s="71"/>
      <c r="AB512" s="71"/>
      <c r="AC512" s="71"/>
      <c r="AD512" s="71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</row>
    <row r="513" ht="15.75" customHeight="1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  <c r="AA513" s="71"/>
      <c r="AB513" s="71"/>
      <c r="AC513" s="71"/>
      <c r="AD513" s="71"/>
      <c r="AE513" s="71"/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</row>
    <row r="514" ht="15.75" customHeight="1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  <c r="AA514" s="71"/>
      <c r="AB514" s="71"/>
      <c r="AC514" s="71"/>
      <c r="AD514" s="71"/>
      <c r="AE514" s="71"/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</row>
    <row r="515" ht="15.75" customHeight="1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  <c r="AA515" s="71"/>
      <c r="AB515" s="71"/>
      <c r="AC515" s="71"/>
      <c r="AD515" s="71"/>
      <c r="AE515" s="71"/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</row>
    <row r="516" ht="15.75" customHeight="1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  <c r="AA516" s="71"/>
      <c r="AB516" s="71"/>
      <c r="AC516" s="71"/>
      <c r="AD516" s="71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</row>
    <row r="517" ht="15.75" customHeight="1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  <c r="AA517" s="71"/>
      <c r="AB517" s="71"/>
      <c r="AC517" s="71"/>
      <c r="AD517" s="71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</row>
    <row r="518" ht="15.75" customHeight="1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  <c r="AA518" s="71"/>
      <c r="AB518" s="71"/>
      <c r="AC518" s="71"/>
      <c r="AD518" s="71"/>
      <c r="AE518" s="71"/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</row>
    <row r="519" ht="15.75" customHeight="1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  <c r="AA519" s="71"/>
      <c r="AB519" s="71"/>
      <c r="AC519" s="71"/>
      <c r="AD519" s="71"/>
      <c r="AE519" s="71"/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</row>
    <row r="520" ht="15.75" customHeight="1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</row>
    <row r="521" ht="15.75" customHeight="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  <c r="AA521" s="71"/>
      <c r="AB521" s="71"/>
      <c r="AC521" s="71"/>
      <c r="AD521" s="71"/>
      <c r="AE521" s="71"/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</row>
    <row r="522" ht="15.75" customHeight="1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  <c r="AA522" s="71"/>
      <c r="AB522" s="71"/>
      <c r="AC522" s="71"/>
      <c r="AD522" s="71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</row>
    <row r="523" ht="15.75" customHeight="1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  <c r="AA523" s="71"/>
      <c r="AB523" s="71"/>
      <c r="AC523" s="71"/>
      <c r="AD523" s="71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</row>
    <row r="524" ht="15.75" customHeight="1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  <c r="AA524" s="71"/>
      <c r="AB524" s="71"/>
      <c r="AC524" s="71"/>
      <c r="AD524" s="71"/>
      <c r="AE524" s="71"/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</row>
    <row r="525" ht="15.75" customHeight="1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  <c r="AA525" s="71"/>
      <c r="AB525" s="71"/>
      <c r="AC525" s="71"/>
      <c r="AD525" s="71"/>
      <c r="AE525" s="71"/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</row>
    <row r="526" ht="15.75" customHeight="1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  <c r="AA526" s="71"/>
      <c r="AB526" s="71"/>
      <c r="AC526" s="71"/>
      <c r="AD526" s="71"/>
      <c r="AE526" s="71"/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</row>
    <row r="527" ht="15.75" customHeight="1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  <c r="AA527" s="71"/>
      <c r="AB527" s="71"/>
      <c r="AC527" s="71"/>
      <c r="AD527" s="71"/>
      <c r="AE527" s="71"/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</row>
    <row r="528" ht="15.75" customHeight="1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  <c r="AA528" s="71"/>
      <c r="AB528" s="71"/>
      <c r="AC528" s="71"/>
      <c r="AD528" s="71"/>
      <c r="AE528" s="71"/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</row>
    <row r="529" ht="15.75" customHeight="1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  <c r="AA529" s="71"/>
      <c r="AB529" s="71"/>
      <c r="AC529" s="71"/>
      <c r="AD529" s="71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</row>
    <row r="530" ht="15.75" customHeight="1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  <c r="AA530" s="71"/>
      <c r="AB530" s="71"/>
      <c r="AC530" s="71"/>
      <c r="AD530" s="71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</row>
    <row r="531" ht="15.75" customHeight="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  <c r="AA531" s="71"/>
      <c r="AB531" s="71"/>
      <c r="AC531" s="71"/>
      <c r="AD531" s="71"/>
      <c r="AE531" s="71"/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</row>
    <row r="532" ht="15.75" customHeight="1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  <c r="AA532" s="71"/>
      <c r="AB532" s="71"/>
      <c r="AC532" s="71"/>
      <c r="AD532" s="71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</row>
    <row r="533" ht="15.75" customHeight="1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  <c r="AA533" s="71"/>
      <c r="AB533" s="71"/>
      <c r="AC533" s="71"/>
      <c r="AD533" s="71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</row>
    <row r="534" ht="15.75" customHeight="1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  <c r="AA534" s="71"/>
      <c r="AB534" s="71"/>
      <c r="AC534" s="71"/>
      <c r="AD534" s="71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</row>
    <row r="535" ht="15.75" customHeight="1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  <c r="AA535" s="71"/>
      <c r="AB535" s="71"/>
      <c r="AC535" s="71"/>
      <c r="AD535" s="71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</row>
    <row r="536" ht="15.75" customHeight="1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  <c r="AA536" s="71"/>
      <c r="AB536" s="71"/>
      <c r="AC536" s="71"/>
      <c r="AD536" s="71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</row>
    <row r="537" ht="15.75" customHeight="1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  <c r="AA537" s="71"/>
      <c r="AB537" s="71"/>
      <c r="AC537" s="71"/>
      <c r="AD537" s="71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</row>
    <row r="538" ht="15.75" customHeight="1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  <c r="AA538" s="71"/>
      <c r="AB538" s="71"/>
      <c r="AC538" s="71"/>
      <c r="AD538" s="71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</row>
    <row r="539" ht="15.75" customHeight="1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  <c r="AA539" s="71"/>
      <c r="AB539" s="71"/>
      <c r="AC539" s="71"/>
      <c r="AD539" s="71"/>
      <c r="AE539" s="71"/>
      <c r="AF539" s="71"/>
      <c r="AG539" s="71"/>
      <c r="AH539" s="71"/>
      <c r="AI539" s="71"/>
      <c r="AJ539" s="71"/>
      <c r="AK539" s="71"/>
      <c r="AL539" s="71"/>
      <c r="AM539" s="71"/>
      <c r="AN539" s="71"/>
      <c r="AO539" s="71"/>
      <c r="AP539" s="71"/>
      <c r="AQ539" s="71"/>
      <c r="AR539" s="71"/>
    </row>
    <row r="540" ht="15.75" customHeight="1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  <c r="AA540" s="71"/>
      <c r="AB540" s="71"/>
      <c r="AC540" s="71"/>
      <c r="AD540" s="71"/>
      <c r="AE540" s="71"/>
      <c r="AF540" s="71"/>
      <c r="AG540" s="71"/>
      <c r="AH540" s="71"/>
      <c r="AI540" s="71"/>
      <c r="AJ540" s="71"/>
      <c r="AK540" s="71"/>
      <c r="AL540" s="71"/>
      <c r="AM540" s="71"/>
      <c r="AN540" s="71"/>
      <c r="AO540" s="71"/>
      <c r="AP540" s="71"/>
      <c r="AQ540" s="71"/>
      <c r="AR540" s="71"/>
    </row>
    <row r="541" ht="15.75" customHeight="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  <c r="AA541" s="71"/>
      <c r="AB541" s="71"/>
      <c r="AC541" s="71"/>
      <c r="AD541" s="71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</row>
    <row r="542" ht="15.75" customHeight="1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  <c r="AA542" s="71"/>
      <c r="AB542" s="71"/>
      <c r="AC542" s="71"/>
      <c r="AD542" s="71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</row>
    <row r="543" ht="15.75" customHeight="1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  <c r="AA543" s="71"/>
      <c r="AB543" s="71"/>
      <c r="AC543" s="71"/>
      <c r="AD543" s="71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</row>
    <row r="544" ht="15.75" customHeight="1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  <c r="AA544" s="71"/>
      <c r="AB544" s="71"/>
      <c r="AC544" s="71"/>
      <c r="AD544" s="71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</row>
    <row r="545" ht="15.75" customHeight="1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  <c r="AA545" s="71"/>
      <c r="AB545" s="71"/>
      <c r="AC545" s="71"/>
      <c r="AD545" s="71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</row>
    <row r="546" ht="15.75" customHeight="1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  <c r="AA546" s="71"/>
      <c r="AB546" s="71"/>
      <c r="AC546" s="71"/>
      <c r="AD546" s="71"/>
      <c r="AE546" s="71"/>
      <c r="AF546" s="71"/>
      <c r="AG546" s="71"/>
      <c r="AH546" s="71"/>
      <c r="AI546" s="71"/>
      <c r="AJ546" s="71"/>
      <c r="AK546" s="71"/>
      <c r="AL546" s="71"/>
      <c r="AM546" s="71"/>
      <c r="AN546" s="71"/>
      <c r="AO546" s="71"/>
      <c r="AP546" s="71"/>
      <c r="AQ546" s="71"/>
      <c r="AR546" s="71"/>
    </row>
    <row r="547" ht="15.75" customHeight="1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  <c r="AA547" s="71"/>
      <c r="AB547" s="71"/>
      <c r="AC547" s="71"/>
      <c r="AD547" s="71"/>
      <c r="AE547" s="71"/>
      <c r="AF547" s="71"/>
      <c r="AG547" s="71"/>
      <c r="AH547" s="71"/>
      <c r="AI547" s="71"/>
      <c r="AJ547" s="71"/>
      <c r="AK547" s="71"/>
      <c r="AL547" s="71"/>
      <c r="AM547" s="71"/>
      <c r="AN547" s="71"/>
      <c r="AO547" s="71"/>
      <c r="AP547" s="71"/>
      <c r="AQ547" s="71"/>
      <c r="AR547" s="71"/>
    </row>
    <row r="548" ht="15.75" customHeight="1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  <c r="AA548" s="71"/>
      <c r="AB548" s="71"/>
      <c r="AC548" s="71"/>
      <c r="AD548" s="71"/>
      <c r="AE548" s="71"/>
      <c r="AF548" s="71"/>
      <c r="AG548" s="71"/>
      <c r="AH548" s="71"/>
      <c r="AI548" s="71"/>
      <c r="AJ548" s="71"/>
      <c r="AK548" s="71"/>
      <c r="AL548" s="71"/>
      <c r="AM548" s="71"/>
      <c r="AN548" s="71"/>
      <c r="AO548" s="71"/>
      <c r="AP548" s="71"/>
      <c r="AQ548" s="71"/>
      <c r="AR548" s="71"/>
    </row>
    <row r="549" ht="15.75" customHeight="1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  <c r="AA549" s="71"/>
      <c r="AB549" s="71"/>
      <c r="AC549" s="71"/>
      <c r="AD549" s="71"/>
      <c r="AE549" s="71"/>
      <c r="AF549" s="71"/>
      <c r="AG549" s="71"/>
      <c r="AH549" s="71"/>
      <c r="AI549" s="71"/>
      <c r="AJ549" s="71"/>
      <c r="AK549" s="71"/>
      <c r="AL549" s="71"/>
      <c r="AM549" s="71"/>
      <c r="AN549" s="71"/>
      <c r="AO549" s="71"/>
      <c r="AP549" s="71"/>
      <c r="AQ549" s="71"/>
      <c r="AR549" s="71"/>
    </row>
    <row r="550" ht="15.75" customHeight="1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  <c r="AA550" s="71"/>
      <c r="AB550" s="71"/>
      <c r="AC550" s="71"/>
      <c r="AD550" s="71"/>
      <c r="AE550" s="71"/>
      <c r="AF550" s="71"/>
      <c r="AG550" s="71"/>
      <c r="AH550" s="71"/>
      <c r="AI550" s="71"/>
      <c r="AJ550" s="71"/>
      <c r="AK550" s="71"/>
      <c r="AL550" s="71"/>
      <c r="AM550" s="71"/>
      <c r="AN550" s="71"/>
      <c r="AO550" s="71"/>
      <c r="AP550" s="71"/>
      <c r="AQ550" s="71"/>
      <c r="AR550" s="71"/>
    </row>
    <row r="551" ht="15.75" customHeight="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  <c r="AA551" s="71"/>
      <c r="AB551" s="71"/>
      <c r="AC551" s="71"/>
      <c r="AD551" s="71"/>
      <c r="AE551" s="71"/>
      <c r="AF551" s="71"/>
      <c r="AG551" s="71"/>
      <c r="AH551" s="71"/>
      <c r="AI551" s="71"/>
      <c r="AJ551" s="71"/>
      <c r="AK551" s="71"/>
      <c r="AL551" s="71"/>
      <c r="AM551" s="71"/>
      <c r="AN551" s="71"/>
      <c r="AO551" s="71"/>
      <c r="AP551" s="71"/>
      <c r="AQ551" s="71"/>
      <c r="AR551" s="71"/>
    </row>
    <row r="552" ht="15.75" customHeight="1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  <c r="AA552" s="71"/>
      <c r="AB552" s="71"/>
      <c r="AC552" s="71"/>
      <c r="AD552" s="71"/>
      <c r="AE552" s="71"/>
      <c r="AF552" s="71"/>
      <c r="AG552" s="71"/>
      <c r="AH552" s="71"/>
      <c r="AI552" s="71"/>
      <c r="AJ552" s="71"/>
      <c r="AK552" s="71"/>
      <c r="AL552" s="71"/>
      <c r="AM552" s="71"/>
      <c r="AN552" s="71"/>
      <c r="AO552" s="71"/>
      <c r="AP552" s="71"/>
      <c r="AQ552" s="71"/>
      <c r="AR552" s="71"/>
    </row>
    <row r="553" ht="15.75" customHeight="1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  <c r="AA553" s="71"/>
      <c r="AB553" s="71"/>
      <c r="AC553" s="71"/>
      <c r="AD553" s="71"/>
      <c r="AE553" s="71"/>
      <c r="AF553" s="71"/>
      <c r="AG553" s="71"/>
      <c r="AH553" s="71"/>
      <c r="AI553" s="71"/>
      <c r="AJ553" s="71"/>
      <c r="AK553" s="71"/>
      <c r="AL553" s="71"/>
      <c r="AM553" s="71"/>
      <c r="AN553" s="71"/>
      <c r="AO553" s="71"/>
      <c r="AP553" s="71"/>
      <c r="AQ553" s="71"/>
      <c r="AR553" s="71"/>
    </row>
    <row r="554" ht="15.75" customHeight="1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  <c r="AA554" s="71"/>
      <c r="AB554" s="71"/>
      <c r="AC554" s="71"/>
      <c r="AD554" s="71"/>
      <c r="AE554" s="71"/>
      <c r="AF554" s="71"/>
      <c r="AG554" s="71"/>
      <c r="AH554" s="71"/>
      <c r="AI554" s="71"/>
      <c r="AJ554" s="71"/>
      <c r="AK554" s="71"/>
      <c r="AL554" s="71"/>
      <c r="AM554" s="71"/>
      <c r="AN554" s="71"/>
      <c r="AO554" s="71"/>
      <c r="AP554" s="71"/>
      <c r="AQ554" s="71"/>
      <c r="AR554" s="71"/>
    </row>
    <row r="555" ht="15.75" customHeight="1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  <c r="AA555" s="71"/>
      <c r="AB555" s="71"/>
      <c r="AC555" s="71"/>
      <c r="AD555" s="71"/>
      <c r="AE555" s="71"/>
      <c r="AF555" s="71"/>
      <c r="AG555" s="71"/>
      <c r="AH555" s="71"/>
      <c r="AI555" s="71"/>
      <c r="AJ555" s="71"/>
      <c r="AK555" s="71"/>
      <c r="AL555" s="71"/>
      <c r="AM555" s="71"/>
      <c r="AN555" s="71"/>
      <c r="AO555" s="71"/>
      <c r="AP555" s="71"/>
      <c r="AQ555" s="71"/>
      <c r="AR555" s="71"/>
    </row>
    <row r="556" ht="15.75" customHeight="1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  <c r="AA556" s="71"/>
      <c r="AB556" s="71"/>
      <c r="AC556" s="71"/>
      <c r="AD556" s="71"/>
      <c r="AE556" s="71"/>
      <c r="AF556" s="71"/>
      <c r="AG556" s="71"/>
      <c r="AH556" s="71"/>
      <c r="AI556" s="71"/>
      <c r="AJ556" s="71"/>
      <c r="AK556" s="71"/>
      <c r="AL556" s="71"/>
      <c r="AM556" s="71"/>
      <c r="AN556" s="71"/>
      <c r="AO556" s="71"/>
      <c r="AP556" s="71"/>
      <c r="AQ556" s="71"/>
      <c r="AR556" s="71"/>
    </row>
    <row r="557" ht="15.75" customHeight="1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  <c r="AA557" s="71"/>
      <c r="AB557" s="71"/>
      <c r="AC557" s="71"/>
      <c r="AD557" s="71"/>
      <c r="AE557" s="71"/>
      <c r="AF557" s="71"/>
      <c r="AG557" s="71"/>
      <c r="AH557" s="71"/>
      <c r="AI557" s="71"/>
      <c r="AJ557" s="71"/>
      <c r="AK557" s="71"/>
      <c r="AL557" s="71"/>
      <c r="AM557" s="71"/>
      <c r="AN557" s="71"/>
      <c r="AO557" s="71"/>
      <c r="AP557" s="71"/>
      <c r="AQ557" s="71"/>
      <c r="AR557" s="71"/>
    </row>
    <row r="558" ht="15.75" customHeight="1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  <c r="AA558" s="71"/>
      <c r="AB558" s="71"/>
      <c r="AC558" s="71"/>
      <c r="AD558" s="71"/>
      <c r="AE558" s="71"/>
      <c r="AF558" s="71"/>
      <c r="AG558" s="71"/>
      <c r="AH558" s="71"/>
      <c r="AI558" s="71"/>
      <c r="AJ558" s="71"/>
      <c r="AK558" s="71"/>
      <c r="AL558" s="71"/>
      <c r="AM558" s="71"/>
      <c r="AN558" s="71"/>
      <c r="AO558" s="71"/>
      <c r="AP558" s="71"/>
      <c r="AQ558" s="71"/>
      <c r="AR558" s="71"/>
    </row>
    <row r="559" ht="15.75" customHeight="1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  <c r="AA559" s="71"/>
      <c r="AB559" s="71"/>
      <c r="AC559" s="71"/>
      <c r="AD559" s="71"/>
      <c r="AE559" s="71"/>
      <c r="AF559" s="71"/>
      <c r="AG559" s="71"/>
      <c r="AH559" s="71"/>
      <c r="AI559" s="71"/>
      <c r="AJ559" s="71"/>
      <c r="AK559" s="71"/>
      <c r="AL559" s="71"/>
      <c r="AM559" s="71"/>
      <c r="AN559" s="71"/>
      <c r="AO559" s="71"/>
      <c r="AP559" s="71"/>
      <c r="AQ559" s="71"/>
      <c r="AR559" s="71"/>
    </row>
    <row r="560" ht="15.75" customHeight="1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  <c r="AA560" s="71"/>
      <c r="AB560" s="71"/>
      <c r="AC560" s="71"/>
      <c r="AD560" s="71"/>
      <c r="AE560" s="71"/>
      <c r="AF560" s="71"/>
      <c r="AG560" s="71"/>
      <c r="AH560" s="71"/>
      <c r="AI560" s="71"/>
      <c r="AJ560" s="71"/>
      <c r="AK560" s="71"/>
      <c r="AL560" s="71"/>
      <c r="AM560" s="71"/>
      <c r="AN560" s="71"/>
      <c r="AO560" s="71"/>
      <c r="AP560" s="71"/>
      <c r="AQ560" s="71"/>
      <c r="AR560" s="71"/>
    </row>
    <row r="561" ht="15.75" customHeight="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  <c r="AA561" s="71"/>
      <c r="AB561" s="71"/>
      <c r="AC561" s="71"/>
      <c r="AD561" s="71"/>
      <c r="AE561" s="71"/>
      <c r="AF561" s="71"/>
      <c r="AG561" s="71"/>
      <c r="AH561" s="71"/>
      <c r="AI561" s="71"/>
      <c r="AJ561" s="71"/>
      <c r="AK561" s="71"/>
      <c r="AL561" s="71"/>
      <c r="AM561" s="71"/>
      <c r="AN561" s="71"/>
      <c r="AO561" s="71"/>
      <c r="AP561" s="71"/>
      <c r="AQ561" s="71"/>
      <c r="AR561" s="71"/>
    </row>
    <row r="562" ht="15.75" customHeight="1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  <c r="AA562" s="71"/>
      <c r="AB562" s="71"/>
      <c r="AC562" s="71"/>
      <c r="AD562" s="71"/>
      <c r="AE562" s="71"/>
      <c r="AF562" s="71"/>
      <c r="AG562" s="71"/>
      <c r="AH562" s="71"/>
      <c r="AI562" s="71"/>
      <c r="AJ562" s="71"/>
      <c r="AK562" s="71"/>
      <c r="AL562" s="71"/>
      <c r="AM562" s="71"/>
      <c r="AN562" s="71"/>
      <c r="AO562" s="71"/>
      <c r="AP562" s="71"/>
      <c r="AQ562" s="71"/>
      <c r="AR562" s="71"/>
    </row>
    <row r="563" ht="15.75" customHeight="1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  <c r="AA563" s="71"/>
      <c r="AB563" s="71"/>
      <c r="AC563" s="71"/>
      <c r="AD563" s="71"/>
      <c r="AE563" s="71"/>
      <c r="AF563" s="71"/>
      <c r="AG563" s="71"/>
      <c r="AH563" s="71"/>
      <c r="AI563" s="71"/>
      <c r="AJ563" s="71"/>
      <c r="AK563" s="71"/>
      <c r="AL563" s="71"/>
      <c r="AM563" s="71"/>
      <c r="AN563" s="71"/>
      <c r="AO563" s="71"/>
      <c r="AP563" s="71"/>
      <c r="AQ563" s="71"/>
      <c r="AR563" s="71"/>
    </row>
    <row r="564" ht="15.75" customHeight="1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  <c r="AA564" s="71"/>
      <c r="AB564" s="71"/>
      <c r="AC564" s="71"/>
      <c r="AD564" s="71"/>
      <c r="AE564" s="71"/>
      <c r="AF564" s="71"/>
      <c r="AG564" s="71"/>
      <c r="AH564" s="71"/>
      <c r="AI564" s="71"/>
      <c r="AJ564" s="71"/>
      <c r="AK564" s="71"/>
      <c r="AL564" s="71"/>
      <c r="AM564" s="71"/>
      <c r="AN564" s="71"/>
      <c r="AO564" s="71"/>
      <c r="AP564" s="71"/>
      <c r="AQ564" s="71"/>
      <c r="AR564" s="71"/>
    </row>
    <row r="565" ht="15.75" customHeight="1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  <c r="AA565" s="71"/>
      <c r="AB565" s="71"/>
      <c r="AC565" s="71"/>
      <c r="AD565" s="71"/>
      <c r="AE565" s="71"/>
      <c r="AF565" s="71"/>
      <c r="AG565" s="71"/>
      <c r="AH565" s="71"/>
      <c r="AI565" s="71"/>
      <c r="AJ565" s="71"/>
      <c r="AK565" s="71"/>
      <c r="AL565" s="71"/>
      <c r="AM565" s="71"/>
      <c r="AN565" s="71"/>
      <c r="AO565" s="71"/>
      <c r="AP565" s="71"/>
      <c r="AQ565" s="71"/>
      <c r="AR565" s="71"/>
    </row>
    <row r="566" ht="15.75" customHeight="1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  <c r="AA566" s="71"/>
      <c r="AB566" s="71"/>
      <c r="AC566" s="71"/>
      <c r="AD566" s="71"/>
      <c r="AE566" s="71"/>
      <c r="AF566" s="71"/>
      <c r="AG566" s="71"/>
      <c r="AH566" s="71"/>
      <c r="AI566" s="71"/>
      <c r="AJ566" s="71"/>
      <c r="AK566" s="71"/>
      <c r="AL566" s="71"/>
      <c r="AM566" s="71"/>
      <c r="AN566" s="71"/>
      <c r="AO566" s="71"/>
      <c r="AP566" s="71"/>
      <c r="AQ566" s="71"/>
      <c r="AR566" s="71"/>
    </row>
    <row r="567" ht="15.75" customHeight="1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  <c r="AA567" s="71"/>
      <c r="AB567" s="71"/>
      <c r="AC567" s="71"/>
      <c r="AD567" s="71"/>
      <c r="AE567" s="71"/>
      <c r="AF567" s="71"/>
      <c r="AG567" s="71"/>
      <c r="AH567" s="71"/>
      <c r="AI567" s="71"/>
      <c r="AJ567" s="71"/>
      <c r="AK567" s="71"/>
      <c r="AL567" s="71"/>
      <c r="AM567" s="71"/>
      <c r="AN567" s="71"/>
      <c r="AO567" s="71"/>
      <c r="AP567" s="71"/>
      <c r="AQ567" s="71"/>
      <c r="AR567" s="71"/>
    </row>
    <row r="568" ht="15.75" customHeight="1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  <c r="AA568" s="71"/>
      <c r="AB568" s="71"/>
      <c r="AC568" s="71"/>
      <c r="AD568" s="71"/>
      <c r="AE568" s="71"/>
      <c r="AF568" s="71"/>
      <c r="AG568" s="71"/>
      <c r="AH568" s="71"/>
      <c r="AI568" s="71"/>
      <c r="AJ568" s="71"/>
      <c r="AK568" s="71"/>
      <c r="AL568" s="71"/>
      <c r="AM568" s="71"/>
      <c r="AN568" s="71"/>
      <c r="AO568" s="71"/>
      <c r="AP568" s="71"/>
      <c r="AQ568" s="71"/>
      <c r="AR568" s="71"/>
    </row>
    <row r="569" ht="15.75" customHeight="1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  <c r="AA569" s="71"/>
      <c r="AB569" s="71"/>
      <c r="AC569" s="71"/>
      <c r="AD569" s="71"/>
      <c r="AE569" s="71"/>
      <c r="AF569" s="71"/>
      <c r="AG569" s="71"/>
      <c r="AH569" s="71"/>
      <c r="AI569" s="71"/>
      <c r="AJ569" s="71"/>
      <c r="AK569" s="71"/>
      <c r="AL569" s="71"/>
      <c r="AM569" s="71"/>
      <c r="AN569" s="71"/>
      <c r="AO569" s="71"/>
      <c r="AP569" s="71"/>
      <c r="AQ569" s="71"/>
      <c r="AR569" s="71"/>
    </row>
    <row r="570" ht="15.75" customHeight="1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  <c r="AA570" s="71"/>
      <c r="AB570" s="71"/>
      <c r="AC570" s="71"/>
      <c r="AD570" s="71"/>
      <c r="AE570" s="71"/>
      <c r="AF570" s="71"/>
      <c r="AG570" s="71"/>
      <c r="AH570" s="71"/>
      <c r="AI570" s="71"/>
      <c r="AJ570" s="71"/>
      <c r="AK570" s="71"/>
      <c r="AL570" s="71"/>
      <c r="AM570" s="71"/>
      <c r="AN570" s="71"/>
      <c r="AO570" s="71"/>
      <c r="AP570" s="71"/>
      <c r="AQ570" s="71"/>
      <c r="AR570" s="71"/>
    </row>
    <row r="571" ht="15.75" customHeight="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  <c r="AA571" s="71"/>
      <c r="AB571" s="71"/>
      <c r="AC571" s="71"/>
      <c r="AD571" s="71"/>
      <c r="AE571" s="71"/>
      <c r="AF571" s="71"/>
      <c r="AG571" s="71"/>
      <c r="AH571" s="71"/>
      <c r="AI571" s="71"/>
      <c r="AJ571" s="71"/>
      <c r="AK571" s="71"/>
      <c r="AL571" s="71"/>
      <c r="AM571" s="71"/>
      <c r="AN571" s="71"/>
      <c r="AO571" s="71"/>
      <c r="AP571" s="71"/>
      <c r="AQ571" s="71"/>
      <c r="AR571" s="71"/>
    </row>
    <row r="572" ht="15.75" customHeight="1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  <c r="AA572" s="71"/>
      <c r="AB572" s="71"/>
      <c r="AC572" s="71"/>
      <c r="AD572" s="71"/>
      <c r="AE572" s="71"/>
      <c r="AF572" s="71"/>
      <c r="AG572" s="71"/>
      <c r="AH572" s="71"/>
      <c r="AI572" s="71"/>
      <c r="AJ572" s="71"/>
      <c r="AK572" s="71"/>
      <c r="AL572" s="71"/>
      <c r="AM572" s="71"/>
      <c r="AN572" s="71"/>
      <c r="AO572" s="71"/>
      <c r="AP572" s="71"/>
      <c r="AQ572" s="71"/>
      <c r="AR572" s="71"/>
    </row>
    <row r="573" ht="15.75" customHeight="1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  <c r="AA573" s="71"/>
      <c r="AB573" s="71"/>
      <c r="AC573" s="71"/>
      <c r="AD573" s="71"/>
      <c r="AE573" s="71"/>
      <c r="AF573" s="71"/>
      <c r="AG573" s="71"/>
      <c r="AH573" s="71"/>
      <c r="AI573" s="71"/>
      <c r="AJ573" s="71"/>
      <c r="AK573" s="71"/>
      <c r="AL573" s="71"/>
      <c r="AM573" s="71"/>
      <c r="AN573" s="71"/>
      <c r="AO573" s="71"/>
      <c r="AP573" s="71"/>
      <c r="AQ573" s="71"/>
      <c r="AR573" s="71"/>
    </row>
    <row r="574" ht="15.75" customHeight="1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  <c r="AA574" s="71"/>
      <c r="AB574" s="71"/>
      <c r="AC574" s="71"/>
      <c r="AD574" s="71"/>
      <c r="AE574" s="71"/>
      <c r="AF574" s="71"/>
      <c r="AG574" s="71"/>
      <c r="AH574" s="71"/>
      <c r="AI574" s="71"/>
      <c r="AJ574" s="71"/>
      <c r="AK574" s="71"/>
      <c r="AL574" s="71"/>
      <c r="AM574" s="71"/>
      <c r="AN574" s="71"/>
      <c r="AO574" s="71"/>
      <c r="AP574" s="71"/>
      <c r="AQ574" s="71"/>
      <c r="AR574" s="71"/>
    </row>
    <row r="575" ht="15.75" customHeight="1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  <c r="AA575" s="71"/>
      <c r="AB575" s="71"/>
      <c r="AC575" s="71"/>
      <c r="AD575" s="71"/>
      <c r="AE575" s="71"/>
      <c r="AF575" s="71"/>
      <c r="AG575" s="71"/>
      <c r="AH575" s="71"/>
      <c r="AI575" s="71"/>
      <c r="AJ575" s="71"/>
      <c r="AK575" s="71"/>
      <c r="AL575" s="71"/>
      <c r="AM575" s="71"/>
      <c r="AN575" s="71"/>
      <c r="AO575" s="71"/>
      <c r="AP575" s="71"/>
      <c r="AQ575" s="71"/>
      <c r="AR575" s="71"/>
    </row>
    <row r="576" ht="15.75" customHeight="1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  <c r="AA576" s="71"/>
      <c r="AB576" s="71"/>
      <c r="AC576" s="71"/>
      <c r="AD576" s="71"/>
      <c r="AE576" s="71"/>
      <c r="AF576" s="71"/>
      <c r="AG576" s="71"/>
      <c r="AH576" s="71"/>
      <c r="AI576" s="71"/>
      <c r="AJ576" s="71"/>
      <c r="AK576" s="71"/>
      <c r="AL576" s="71"/>
      <c r="AM576" s="71"/>
      <c r="AN576" s="71"/>
      <c r="AO576" s="71"/>
      <c r="AP576" s="71"/>
      <c r="AQ576" s="71"/>
      <c r="AR576" s="71"/>
    </row>
    <row r="577" ht="15.75" customHeight="1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  <c r="AA577" s="71"/>
      <c r="AB577" s="71"/>
      <c r="AC577" s="71"/>
      <c r="AD577" s="71"/>
      <c r="AE577" s="71"/>
      <c r="AF577" s="71"/>
      <c r="AG577" s="71"/>
      <c r="AH577" s="71"/>
      <c r="AI577" s="71"/>
      <c r="AJ577" s="71"/>
      <c r="AK577" s="71"/>
      <c r="AL577" s="71"/>
      <c r="AM577" s="71"/>
      <c r="AN577" s="71"/>
      <c r="AO577" s="71"/>
      <c r="AP577" s="71"/>
      <c r="AQ577" s="71"/>
      <c r="AR577" s="71"/>
    </row>
    <row r="578" ht="15.75" customHeight="1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  <c r="AA578" s="71"/>
      <c r="AB578" s="71"/>
      <c r="AC578" s="71"/>
      <c r="AD578" s="71"/>
      <c r="AE578" s="71"/>
      <c r="AF578" s="71"/>
      <c r="AG578" s="71"/>
      <c r="AH578" s="71"/>
      <c r="AI578" s="71"/>
      <c r="AJ578" s="71"/>
      <c r="AK578" s="71"/>
      <c r="AL578" s="71"/>
      <c r="AM578" s="71"/>
      <c r="AN578" s="71"/>
      <c r="AO578" s="71"/>
      <c r="AP578" s="71"/>
      <c r="AQ578" s="71"/>
      <c r="AR578" s="71"/>
    </row>
    <row r="579" ht="15.75" customHeight="1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  <c r="AA579" s="71"/>
      <c r="AB579" s="71"/>
      <c r="AC579" s="71"/>
      <c r="AD579" s="71"/>
      <c r="AE579" s="71"/>
      <c r="AF579" s="71"/>
      <c r="AG579" s="71"/>
      <c r="AH579" s="71"/>
      <c r="AI579" s="71"/>
      <c r="AJ579" s="71"/>
      <c r="AK579" s="71"/>
      <c r="AL579" s="71"/>
      <c r="AM579" s="71"/>
      <c r="AN579" s="71"/>
      <c r="AO579" s="71"/>
      <c r="AP579" s="71"/>
      <c r="AQ579" s="71"/>
      <c r="AR579" s="71"/>
    </row>
    <row r="580" ht="15.75" customHeight="1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  <c r="AA580" s="71"/>
      <c r="AB580" s="71"/>
      <c r="AC580" s="71"/>
      <c r="AD580" s="71"/>
      <c r="AE580" s="71"/>
      <c r="AF580" s="71"/>
      <c r="AG580" s="71"/>
      <c r="AH580" s="71"/>
      <c r="AI580" s="71"/>
      <c r="AJ580" s="71"/>
      <c r="AK580" s="71"/>
      <c r="AL580" s="71"/>
      <c r="AM580" s="71"/>
      <c r="AN580" s="71"/>
      <c r="AO580" s="71"/>
      <c r="AP580" s="71"/>
      <c r="AQ580" s="71"/>
      <c r="AR580" s="71"/>
    </row>
    <row r="581" ht="15.75" customHeight="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  <c r="AA581" s="71"/>
      <c r="AB581" s="71"/>
      <c r="AC581" s="71"/>
      <c r="AD581" s="71"/>
      <c r="AE581" s="71"/>
      <c r="AF581" s="71"/>
      <c r="AG581" s="71"/>
      <c r="AH581" s="71"/>
      <c r="AI581" s="71"/>
      <c r="AJ581" s="71"/>
      <c r="AK581" s="71"/>
      <c r="AL581" s="71"/>
      <c r="AM581" s="71"/>
      <c r="AN581" s="71"/>
      <c r="AO581" s="71"/>
      <c r="AP581" s="71"/>
      <c r="AQ581" s="71"/>
      <c r="AR581" s="71"/>
    </row>
    <row r="582" ht="15.75" customHeight="1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  <c r="AA582" s="71"/>
      <c r="AB582" s="71"/>
      <c r="AC582" s="71"/>
      <c r="AD582" s="71"/>
      <c r="AE582" s="71"/>
      <c r="AF582" s="71"/>
      <c r="AG582" s="71"/>
      <c r="AH582" s="71"/>
      <c r="AI582" s="71"/>
      <c r="AJ582" s="71"/>
      <c r="AK582" s="71"/>
      <c r="AL582" s="71"/>
      <c r="AM582" s="71"/>
      <c r="AN582" s="71"/>
      <c r="AO582" s="71"/>
      <c r="AP582" s="71"/>
      <c r="AQ582" s="71"/>
      <c r="AR582" s="71"/>
    </row>
    <row r="583" ht="15.75" customHeight="1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  <c r="AA583" s="71"/>
      <c r="AB583" s="71"/>
      <c r="AC583" s="71"/>
      <c r="AD583" s="71"/>
      <c r="AE583" s="71"/>
      <c r="AF583" s="71"/>
      <c r="AG583" s="71"/>
      <c r="AH583" s="71"/>
      <c r="AI583" s="71"/>
      <c r="AJ583" s="71"/>
      <c r="AK583" s="71"/>
      <c r="AL583" s="71"/>
      <c r="AM583" s="71"/>
      <c r="AN583" s="71"/>
      <c r="AO583" s="71"/>
      <c r="AP583" s="71"/>
      <c r="AQ583" s="71"/>
      <c r="AR583" s="71"/>
    </row>
    <row r="584" ht="15.75" customHeight="1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  <c r="AA584" s="71"/>
      <c r="AB584" s="71"/>
      <c r="AC584" s="71"/>
      <c r="AD584" s="71"/>
      <c r="AE584" s="71"/>
      <c r="AF584" s="71"/>
      <c r="AG584" s="71"/>
      <c r="AH584" s="71"/>
      <c r="AI584" s="71"/>
      <c r="AJ584" s="71"/>
      <c r="AK584" s="71"/>
      <c r="AL584" s="71"/>
      <c r="AM584" s="71"/>
      <c r="AN584" s="71"/>
      <c r="AO584" s="71"/>
      <c r="AP584" s="71"/>
      <c r="AQ584" s="71"/>
      <c r="AR584" s="71"/>
    </row>
    <row r="585" ht="15.75" customHeight="1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  <c r="AA585" s="71"/>
      <c r="AB585" s="71"/>
      <c r="AC585" s="71"/>
      <c r="AD585" s="71"/>
      <c r="AE585" s="71"/>
      <c r="AF585" s="71"/>
      <c r="AG585" s="71"/>
      <c r="AH585" s="71"/>
      <c r="AI585" s="71"/>
      <c r="AJ585" s="71"/>
      <c r="AK585" s="71"/>
      <c r="AL585" s="71"/>
      <c r="AM585" s="71"/>
      <c r="AN585" s="71"/>
      <c r="AO585" s="71"/>
      <c r="AP585" s="71"/>
      <c r="AQ585" s="71"/>
      <c r="AR585" s="71"/>
    </row>
    <row r="586" ht="15.75" customHeight="1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  <c r="AA586" s="71"/>
      <c r="AB586" s="71"/>
      <c r="AC586" s="71"/>
      <c r="AD586" s="71"/>
      <c r="AE586" s="71"/>
      <c r="AF586" s="71"/>
      <c r="AG586" s="71"/>
      <c r="AH586" s="71"/>
      <c r="AI586" s="71"/>
      <c r="AJ586" s="71"/>
      <c r="AK586" s="71"/>
      <c r="AL586" s="71"/>
      <c r="AM586" s="71"/>
      <c r="AN586" s="71"/>
      <c r="AO586" s="71"/>
      <c r="AP586" s="71"/>
      <c r="AQ586" s="71"/>
      <c r="AR586" s="71"/>
    </row>
    <row r="587" ht="15.75" customHeight="1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  <c r="AA587" s="71"/>
      <c r="AB587" s="71"/>
      <c r="AC587" s="71"/>
      <c r="AD587" s="71"/>
      <c r="AE587" s="71"/>
      <c r="AF587" s="71"/>
      <c r="AG587" s="71"/>
      <c r="AH587" s="71"/>
      <c r="AI587" s="71"/>
      <c r="AJ587" s="71"/>
      <c r="AK587" s="71"/>
      <c r="AL587" s="71"/>
      <c r="AM587" s="71"/>
      <c r="AN587" s="71"/>
      <c r="AO587" s="71"/>
      <c r="AP587" s="71"/>
      <c r="AQ587" s="71"/>
      <c r="AR587" s="71"/>
    </row>
    <row r="588" ht="15.75" customHeight="1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  <c r="AA588" s="71"/>
      <c r="AB588" s="71"/>
      <c r="AC588" s="71"/>
      <c r="AD588" s="71"/>
      <c r="AE588" s="71"/>
      <c r="AF588" s="71"/>
      <c r="AG588" s="71"/>
      <c r="AH588" s="71"/>
      <c r="AI588" s="71"/>
      <c r="AJ588" s="71"/>
      <c r="AK588" s="71"/>
      <c r="AL588" s="71"/>
      <c r="AM588" s="71"/>
      <c r="AN588" s="71"/>
      <c r="AO588" s="71"/>
      <c r="AP588" s="71"/>
      <c r="AQ588" s="71"/>
      <c r="AR588" s="71"/>
    </row>
    <row r="589" ht="15.75" customHeight="1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  <c r="AA589" s="71"/>
      <c r="AB589" s="71"/>
      <c r="AC589" s="71"/>
      <c r="AD589" s="71"/>
      <c r="AE589" s="71"/>
      <c r="AF589" s="71"/>
      <c r="AG589" s="71"/>
      <c r="AH589" s="71"/>
      <c r="AI589" s="71"/>
      <c r="AJ589" s="71"/>
      <c r="AK589" s="71"/>
      <c r="AL589" s="71"/>
      <c r="AM589" s="71"/>
      <c r="AN589" s="71"/>
      <c r="AO589" s="71"/>
      <c r="AP589" s="71"/>
      <c r="AQ589" s="71"/>
      <c r="AR589" s="71"/>
    </row>
    <row r="590" ht="15.75" customHeight="1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  <c r="AA590" s="71"/>
      <c r="AB590" s="71"/>
      <c r="AC590" s="71"/>
      <c r="AD590" s="71"/>
      <c r="AE590" s="71"/>
      <c r="AF590" s="71"/>
      <c r="AG590" s="71"/>
      <c r="AH590" s="71"/>
      <c r="AI590" s="71"/>
      <c r="AJ590" s="71"/>
      <c r="AK590" s="71"/>
      <c r="AL590" s="71"/>
      <c r="AM590" s="71"/>
      <c r="AN590" s="71"/>
      <c r="AO590" s="71"/>
      <c r="AP590" s="71"/>
      <c r="AQ590" s="71"/>
      <c r="AR590" s="71"/>
    </row>
    <row r="591" ht="15.75" customHeight="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  <c r="AA591" s="71"/>
      <c r="AB591" s="71"/>
      <c r="AC591" s="71"/>
      <c r="AD591" s="71"/>
      <c r="AE591" s="71"/>
      <c r="AF591" s="71"/>
      <c r="AG591" s="71"/>
      <c r="AH591" s="71"/>
      <c r="AI591" s="71"/>
      <c r="AJ591" s="71"/>
      <c r="AK591" s="71"/>
      <c r="AL591" s="71"/>
      <c r="AM591" s="71"/>
      <c r="AN591" s="71"/>
      <c r="AO591" s="71"/>
      <c r="AP591" s="71"/>
      <c r="AQ591" s="71"/>
      <c r="AR591" s="71"/>
    </row>
    <row r="592" ht="15.75" customHeight="1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  <c r="AA592" s="71"/>
      <c r="AB592" s="71"/>
      <c r="AC592" s="71"/>
      <c r="AD592" s="71"/>
      <c r="AE592" s="71"/>
      <c r="AF592" s="71"/>
      <c r="AG592" s="71"/>
      <c r="AH592" s="71"/>
      <c r="AI592" s="71"/>
      <c r="AJ592" s="71"/>
      <c r="AK592" s="71"/>
      <c r="AL592" s="71"/>
      <c r="AM592" s="71"/>
      <c r="AN592" s="71"/>
      <c r="AO592" s="71"/>
      <c r="AP592" s="71"/>
      <c r="AQ592" s="71"/>
      <c r="AR592" s="71"/>
    </row>
    <row r="593" ht="15.75" customHeight="1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  <c r="AA593" s="71"/>
      <c r="AB593" s="71"/>
      <c r="AC593" s="71"/>
      <c r="AD593" s="71"/>
      <c r="AE593" s="71"/>
      <c r="AF593" s="71"/>
      <c r="AG593" s="71"/>
      <c r="AH593" s="71"/>
      <c r="AI593" s="71"/>
      <c r="AJ593" s="71"/>
      <c r="AK593" s="71"/>
      <c r="AL593" s="71"/>
      <c r="AM593" s="71"/>
      <c r="AN593" s="71"/>
      <c r="AO593" s="71"/>
      <c r="AP593" s="71"/>
      <c r="AQ593" s="71"/>
      <c r="AR593" s="71"/>
    </row>
    <row r="594" ht="15.75" customHeight="1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  <c r="AA594" s="71"/>
      <c r="AB594" s="71"/>
      <c r="AC594" s="71"/>
      <c r="AD594" s="71"/>
      <c r="AE594" s="71"/>
      <c r="AF594" s="71"/>
      <c r="AG594" s="71"/>
      <c r="AH594" s="71"/>
      <c r="AI594" s="71"/>
      <c r="AJ594" s="71"/>
      <c r="AK594" s="71"/>
      <c r="AL594" s="71"/>
      <c r="AM594" s="71"/>
      <c r="AN594" s="71"/>
      <c r="AO594" s="71"/>
      <c r="AP594" s="71"/>
      <c r="AQ594" s="71"/>
      <c r="AR594" s="71"/>
    </row>
    <row r="595" ht="15.75" customHeight="1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  <c r="AA595" s="71"/>
      <c r="AB595" s="71"/>
      <c r="AC595" s="71"/>
      <c r="AD595" s="71"/>
      <c r="AE595" s="71"/>
      <c r="AF595" s="71"/>
      <c r="AG595" s="71"/>
      <c r="AH595" s="71"/>
      <c r="AI595" s="71"/>
      <c r="AJ595" s="71"/>
      <c r="AK595" s="71"/>
      <c r="AL595" s="71"/>
      <c r="AM595" s="71"/>
      <c r="AN595" s="71"/>
      <c r="AO595" s="71"/>
      <c r="AP595" s="71"/>
      <c r="AQ595" s="71"/>
      <c r="AR595" s="71"/>
    </row>
    <row r="596" ht="15.75" customHeight="1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  <c r="AA596" s="71"/>
      <c r="AB596" s="71"/>
      <c r="AC596" s="71"/>
      <c r="AD596" s="71"/>
      <c r="AE596" s="71"/>
      <c r="AF596" s="71"/>
      <c r="AG596" s="71"/>
      <c r="AH596" s="71"/>
      <c r="AI596" s="71"/>
      <c r="AJ596" s="71"/>
      <c r="AK596" s="71"/>
      <c r="AL596" s="71"/>
      <c r="AM596" s="71"/>
      <c r="AN596" s="71"/>
      <c r="AO596" s="71"/>
      <c r="AP596" s="71"/>
      <c r="AQ596" s="71"/>
      <c r="AR596" s="71"/>
    </row>
    <row r="597" ht="15.75" customHeight="1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  <c r="AA597" s="71"/>
      <c r="AB597" s="71"/>
      <c r="AC597" s="71"/>
      <c r="AD597" s="71"/>
      <c r="AE597" s="71"/>
      <c r="AF597" s="71"/>
      <c r="AG597" s="71"/>
      <c r="AH597" s="71"/>
      <c r="AI597" s="71"/>
      <c r="AJ597" s="71"/>
      <c r="AK597" s="71"/>
      <c r="AL597" s="71"/>
      <c r="AM597" s="71"/>
      <c r="AN597" s="71"/>
      <c r="AO597" s="71"/>
      <c r="AP597" s="71"/>
      <c r="AQ597" s="71"/>
      <c r="AR597" s="71"/>
    </row>
    <row r="598" ht="15.75" customHeight="1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  <c r="AA598" s="71"/>
      <c r="AB598" s="71"/>
      <c r="AC598" s="71"/>
      <c r="AD598" s="71"/>
      <c r="AE598" s="71"/>
      <c r="AF598" s="71"/>
      <c r="AG598" s="71"/>
      <c r="AH598" s="71"/>
      <c r="AI598" s="71"/>
      <c r="AJ598" s="71"/>
      <c r="AK598" s="71"/>
      <c r="AL598" s="71"/>
      <c r="AM598" s="71"/>
      <c r="AN598" s="71"/>
      <c r="AO598" s="71"/>
      <c r="AP598" s="71"/>
      <c r="AQ598" s="71"/>
      <c r="AR598" s="71"/>
    </row>
    <row r="599" ht="15.75" customHeight="1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  <c r="AA599" s="71"/>
      <c r="AB599" s="71"/>
      <c r="AC599" s="71"/>
      <c r="AD599" s="71"/>
      <c r="AE599" s="71"/>
      <c r="AF599" s="71"/>
      <c r="AG599" s="71"/>
      <c r="AH599" s="71"/>
      <c r="AI599" s="71"/>
      <c r="AJ599" s="71"/>
      <c r="AK599" s="71"/>
      <c r="AL599" s="71"/>
      <c r="AM599" s="71"/>
      <c r="AN599" s="71"/>
      <c r="AO599" s="71"/>
      <c r="AP599" s="71"/>
      <c r="AQ599" s="71"/>
      <c r="AR599" s="71"/>
    </row>
    <row r="600" ht="15.75" customHeight="1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  <c r="AA600" s="71"/>
      <c r="AB600" s="71"/>
      <c r="AC600" s="71"/>
      <c r="AD600" s="71"/>
      <c r="AE600" s="71"/>
      <c r="AF600" s="71"/>
      <c r="AG600" s="71"/>
      <c r="AH600" s="71"/>
      <c r="AI600" s="71"/>
      <c r="AJ600" s="71"/>
      <c r="AK600" s="71"/>
      <c r="AL600" s="71"/>
      <c r="AM600" s="71"/>
      <c r="AN600" s="71"/>
      <c r="AO600" s="71"/>
      <c r="AP600" s="71"/>
      <c r="AQ600" s="71"/>
      <c r="AR600" s="71"/>
    </row>
    <row r="601" ht="15.75" customHeight="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  <c r="AA601" s="71"/>
      <c r="AB601" s="71"/>
      <c r="AC601" s="71"/>
      <c r="AD601" s="71"/>
      <c r="AE601" s="71"/>
      <c r="AF601" s="71"/>
      <c r="AG601" s="71"/>
      <c r="AH601" s="71"/>
      <c r="AI601" s="71"/>
      <c r="AJ601" s="71"/>
      <c r="AK601" s="71"/>
      <c r="AL601" s="71"/>
      <c r="AM601" s="71"/>
      <c r="AN601" s="71"/>
      <c r="AO601" s="71"/>
      <c r="AP601" s="71"/>
      <c r="AQ601" s="71"/>
      <c r="AR601" s="71"/>
    </row>
    <row r="602" ht="15.75" customHeight="1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  <c r="AA602" s="71"/>
      <c r="AB602" s="71"/>
      <c r="AC602" s="71"/>
      <c r="AD602" s="71"/>
      <c r="AE602" s="71"/>
      <c r="AF602" s="71"/>
      <c r="AG602" s="71"/>
      <c r="AH602" s="71"/>
      <c r="AI602" s="71"/>
      <c r="AJ602" s="71"/>
      <c r="AK602" s="71"/>
      <c r="AL602" s="71"/>
      <c r="AM602" s="71"/>
      <c r="AN602" s="71"/>
      <c r="AO602" s="71"/>
      <c r="AP602" s="71"/>
      <c r="AQ602" s="71"/>
      <c r="AR602" s="71"/>
    </row>
    <row r="603" ht="15.75" customHeight="1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  <c r="AA603" s="71"/>
      <c r="AB603" s="71"/>
      <c r="AC603" s="71"/>
      <c r="AD603" s="71"/>
      <c r="AE603" s="71"/>
      <c r="AF603" s="71"/>
      <c r="AG603" s="71"/>
      <c r="AH603" s="71"/>
      <c r="AI603" s="71"/>
      <c r="AJ603" s="71"/>
      <c r="AK603" s="71"/>
      <c r="AL603" s="71"/>
      <c r="AM603" s="71"/>
      <c r="AN603" s="71"/>
      <c r="AO603" s="71"/>
      <c r="AP603" s="71"/>
      <c r="AQ603" s="71"/>
      <c r="AR603" s="71"/>
    </row>
    <row r="604" ht="15.75" customHeight="1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  <c r="AA604" s="71"/>
      <c r="AB604" s="71"/>
      <c r="AC604" s="71"/>
      <c r="AD604" s="71"/>
      <c r="AE604" s="71"/>
      <c r="AF604" s="71"/>
      <c r="AG604" s="71"/>
      <c r="AH604" s="71"/>
      <c r="AI604" s="71"/>
      <c r="AJ604" s="71"/>
      <c r="AK604" s="71"/>
      <c r="AL604" s="71"/>
      <c r="AM604" s="71"/>
      <c r="AN604" s="71"/>
      <c r="AO604" s="71"/>
      <c r="AP604" s="71"/>
      <c r="AQ604" s="71"/>
      <c r="AR604" s="71"/>
    </row>
    <row r="605" ht="15.75" customHeight="1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  <c r="AA605" s="71"/>
      <c r="AB605" s="71"/>
      <c r="AC605" s="71"/>
      <c r="AD605" s="71"/>
      <c r="AE605" s="71"/>
      <c r="AF605" s="71"/>
      <c r="AG605" s="71"/>
      <c r="AH605" s="71"/>
      <c r="AI605" s="71"/>
      <c r="AJ605" s="71"/>
      <c r="AK605" s="71"/>
      <c r="AL605" s="71"/>
      <c r="AM605" s="71"/>
      <c r="AN605" s="71"/>
      <c r="AO605" s="71"/>
      <c r="AP605" s="71"/>
      <c r="AQ605" s="71"/>
      <c r="AR605" s="71"/>
    </row>
    <row r="606" ht="15.75" customHeight="1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  <c r="AA606" s="71"/>
      <c r="AB606" s="71"/>
      <c r="AC606" s="71"/>
      <c r="AD606" s="71"/>
      <c r="AE606" s="71"/>
      <c r="AF606" s="71"/>
      <c r="AG606" s="71"/>
      <c r="AH606" s="71"/>
      <c r="AI606" s="71"/>
      <c r="AJ606" s="71"/>
      <c r="AK606" s="71"/>
      <c r="AL606" s="71"/>
      <c r="AM606" s="71"/>
      <c r="AN606" s="71"/>
      <c r="AO606" s="71"/>
      <c r="AP606" s="71"/>
      <c r="AQ606" s="71"/>
      <c r="AR606" s="71"/>
    </row>
    <row r="607" ht="15.75" customHeight="1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  <c r="AA607" s="71"/>
      <c r="AB607" s="71"/>
      <c r="AC607" s="71"/>
      <c r="AD607" s="71"/>
      <c r="AE607" s="71"/>
      <c r="AF607" s="71"/>
      <c r="AG607" s="71"/>
      <c r="AH607" s="71"/>
      <c r="AI607" s="71"/>
      <c r="AJ607" s="71"/>
      <c r="AK607" s="71"/>
      <c r="AL607" s="71"/>
      <c r="AM607" s="71"/>
      <c r="AN607" s="71"/>
      <c r="AO607" s="71"/>
      <c r="AP607" s="71"/>
      <c r="AQ607" s="71"/>
      <c r="AR607" s="71"/>
    </row>
    <row r="608" ht="15.75" customHeight="1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  <c r="AA608" s="71"/>
      <c r="AB608" s="71"/>
      <c r="AC608" s="71"/>
      <c r="AD608" s="71"/>
      <c r="AE608" s="71"/>
      <c r="AF608" s="71"/>
      <c r="AG608" s="71"/>
      <c r="AH608" s="71"/>
      <c r="AI608" s="71"/>
      <c r="AJ608" s="71"/>
      <c r="AK608" s="71"/>
      <c r="AL608" s="71"/>
      <c r="AM608" s="71"/>
      <c r="AN608" s="71"/>
      <c r="AO608" s="71"/>
      <c r="AP608" s="71"/>
      <c r="AQ608" s="71"/>
      <c r="AR608" s="71"/>
    </row>
    <row r="609" ht="15.75" customHeight="1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  <c r="AA609" s="71"/>
      <c r="AB609" s="71"/>
      <c r="AC609" s="71"/>
      <c r="AD609" s="71"/>
      <c r="AE609" s="71"/>
      <c r="AF609" s="71"/>
      <c r="AG609" s="71"/>
      <c r="AH609" s="71"/>
      <c r="AI609" s="71"/>
      <c r="AJ609" s="71"/>
      <c r="AK609" s="71"/>
      <c r="AL609" s="71"/>
      <c r="AM609" s="71"/>
      <c r="AN609" s="71"/>
      <c r="AO609" s="71"/>
      <c r="AP609" s="71"/>
      <c r="AQ609" s="71"/>
      <c r="AR609" s="71"/>
    </row>
    <row r="610" ht="15.75" customHeight="1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  <c r="AA610" s="71"/>
      <c r="AB610" s="71"/>
      <c r="AC610" s="71"/>
      <c r="AD610" s="71"/>
      <c r="AE610" s="71"/>
      <c r="AF610" s="71"/>
      <c r="AG610" s="71"/>
      <c r="AH610" s="71"/>
      <c r="AI610" s="71"/>
      <c r="AJ610" s="71"/>
      <c r="AK610" s="71"/>
      <c r="AL610" s="71"/>
      <c r="AM610" s="71"/>
      <c r="AN610" s="71"/>
      <c r="AO610" s="71"/>
      <c r="AP610" s="71"/>
      <c r="AQ610" s="71"/>
      <c r="AR610" s="71"/>
    </row>
    <row r="611" ht="15.75" customHeight="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  <c r="AA611" s="71"/>
      <c r="AB611" s="71"/>
      <c r="AC611" s="71"/>
      <c r="AD611" s="71"/>
      <c r="AE611" s="71"/>
      <c r="AF611" s="71"/>
      <c r="AG611" s="71"/>
      <c r="AH611" s="71"/>
      <c r="AI611" s="71"/>
      <c r="AJ611" s="71"/>
      <c r="AK611" s="71"/>
      <c r="AL611" s="71"/>
      <c r="AM611" s="71"/>
      <c r="AN611" s="71"/>
      <c r="AO611" s="71"/>
      <c r="AP611" s="71"/>
      <c r="AQ611" s="71"/>
      <c r="AR611" s="71"/>
    </row>
    <row r="612" ht="15.75" customHeight="1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  <c r="AA612" s="71"/>
      <c r="AB612" s="71"/>
      <c r="AC612" s="71"/>
      <c r="AD612" s="71"/>
      <c r="AE612" s="71"/>
      <c r="AF612" s="71"/>
      <c r="AG612" s="71"/>
      <c r="AH612" s="71"/>
      <c r="AI612" s="71"/>
      <c r="AJ612" s="71"/>
      <c r="AK612" s="71"/>
      <c r="AL612" s="71"/>
      <c r="AM612" s="71"/>
      <c r="AN612" s="71"/>
      <c r="AO612" s="71"/>
      <c r="AP612" s="71"/>
      <c r="AQ612" s="71"/>
      <c r="AR612" s="71"/>
    </row>
    <row r="613" ht="15.75" customHeight="1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  <c r="AA613" s="71"/>
      <c r="AB613" s="71"/>
      <c r="AC613" s="71"/>
      <c r="AD613" s="71"/>
      <c r="AE613" s="71"/>
      <c r="AF613" s="71"/>
      <c r="AG613" s="71"/>
      <c r="AH613" s="71"/>
      <c r="AI613" s="71"/>
      <c r="AJ613" s="71"/>
      <c r="AK613" s="71"/>
      <c r="AL613" s="71"/>
      <c r="AM613" s="71"/>
      <c r="AN613" s="71"/>
      <c r="AO613" s="71"/>
      <c r="AP613" s="71"/>
      <c r="AQ613" s="71"/>
      <c r="AR613" s="71"/>
    </row>
    <row r="614" ht="15.75" customHeight="1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  <c r="AA614" s="71"/>
      <c r="AB614" s="71"/>
      <c r="AC614" s="71"/>
      <c r="AD614" s="71"/>
      <c r="AE614" s="71"/>
      <c r="AF614" s="71"/>
      <c r="AG614" s="71"/>
      <c r="AH614" s="71"/>
      <c r="AI614" s="71"/>
      <c r="AJ614" s="71"/>
      <c r="AK614" s="71"/>
      <c r="AL614" s="71"/>
      <c r="AM614" s="71"/>
      <c r="AN614" s="71"/>
      <c r="AO614" s="71"/>
      <c r="AP614" s="71"/>
      <c r="AQ614" s="71"/>
      <c r="AR614" s="71"/>
    </row>
    <row r="615" ht="15.75" customHeight="1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  <c r="AA615" s="71"/>
      <c r="AB615" s="71"/>
      <c r="AC615" s="71"/>
      <c r="AD615" s="71"/>
      <c r="AE615" s="71"/>
      <c r="AF615" s="71"/>
      <c r="AG615" s="71"/>
      <c r="AH615" s="71"/>
      <c r="AI615" s="71"/>
      <c r="AJ615" s="71"/>
      <c r="AK615" s="71"/>
      <c r="AL615" s="71"/>
      <c r="AM615" s="71"/>
      <c r="AN615" s="71"/>
      <c r="AO615" s="71"/>
      <c r="AP615" s="71"/>
      <c r="AQ615" s="71"/>
      <c r="AR615" s="71"/>
    </row>
    <row r="616" ht="15.75" customHeight="1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  <c r="AA616" s="71"/>
      <c r="AB616" s="71"/>
      <c r="AC616" s="71"/>
      <c r="AD616" s="71"/>
      <c r="AE616" s="71"/>
      <c r="AF616" s="71"/>
      <c r="AG616" s="71"/>
      <c r="AH616" s="71"/>
      <c r="AI616" s="71"/>
      <c r="AJ616" s="71"/>
      <c r="AK616" s="71"/>
      <c r="AL616" s="71"/>
      <c r="AM616" s="71"/>
      <c r="AN616" s="71"/>
      <c r="AO616" s="71"/>
      <c r="AP616" s="71"/>
      <c r="AQ616" s="71"/>
      <c r="AR616" s="71"/>
    </row>
    <row r="617" ht="15.75" customHeight="1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  <c r="AA617" s="71"/>
      <c r="AB617" s="71"/>
      <c r="AC617" s="71"/>
      <c r="AD617" s="71"/>
      <c r="AE617" s="71"/>
      <c r="AF617" s="71"/>
      <c r="AG617" s="71"/>
      <c r="AH617" s="71"/>
      <c r="AI617" s="71"/>
      <c r="AJ617" s="71"/>
      <c r="AK617" s="71"/>
      <c r="AL617" s="71"/>
      <c r="AM617" s="71"/>
      <c r="AN617" s="71"/>
      <c r="AO617" s="71"/>
      <c r="AP617" s="71"/>
      <c r="AQ617" s="71"/>
      <c r="AR617" s="71"/>
    </row>
    <row r="618" ht="15.75" customHeight="1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  <c r="AA618" s="71"/>
      <c r="AB618" s="71"/>
      <c r="AC618" s="71"/>
      <c r="AD618" s="71"/>
      <c r="AE618" s="71"/>
      <c r="AF618" s="71"/>
      <c r="AG618" s="71"/>
      <c r="AH618" s="71"/>
      <c r="AI618" s="71"/>
      <c r="AJ618" s="71"/>
      <c r="AK618" s="71"/>
      <c r="AL618" s="71"/>
      <c r="AM618" s="71"/>
      <c r="AN618" s="71"/>
      <c r="AO618" s="71"/>
      <c r="AP618" s="71"/>
      <c r="AQ618" s="71"/>
      <c r="AR618" s="71"/>
    </row>
    <row r="619" ht="15.75" customHeight="1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  <c r="AA619" s="71"/>
      <c r="AB619" s="71"/>
      <c r="AC619" s="71"/>
      <c r="AD619" s="71"/>
      <c r="AE619" s="71"/>
      <c r="AF619" s="71"/>
      <c r="AG619" s="71"/>
      <c r="AH619" s="71"/>
      <c r="AI619" s="71"/>
      <c r="AJ619" s="71"/>
      <c r="AK619" s="71"/>
      <c r="AL619" s="71"/>
      <c r="AM619" s="71"/>
      <c r="AN619" s="71"/>
      <c r="AO619" s="71"/>
      <c r="AP619" s="71"/>
      <c r="AQ619" s="71"/>
      <c r="AR619" s="71"/>
    </row>
    <row r="620" ht="15.75" customHeight="1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  <c r="AA620" s="71"/>
      <c r="AB620" s="71"/>
      <c r="AC620" s="71"/>
      <c r="AD620" s="71"/>
      <c r="AE620" s="71"/>
      <c r="AF620" s="71"/>
      <c r="AG620" s="71"/>
      <c r="AH620" s="71"/>
      <c r="AI620" s="71"/>
      <c r="AJ620" s="71"/>
      <c r="AK620" s="71"/>
      <c r="AL620" s="71"/>
      <c r="AM620" s="71"/>
      <c r="AN620" s="71"/>
      <c r="AO620" s="71"/>
      <c r="AP620" s="71"/>
      <c r="AQ620" s="71"/>
      <c r="AR620" s="71"/>
    </row>
    <row r="621" ht="15.75" customHeight="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  <c r="AA621" s="71"/>
      <c r="AB621" s="71"/>
      <c r="AC621" s="71"/>
      <c r="AD621" s="71"/>
      <c r="AE621" s="71"/>
      <c r="AF621" s="71"/>
      <c r="AG621" s="71"/>
      <c r="AH621" s="71"/>
      <c r="AI621" s="71"/>
      <c r="AJ621" s="71"/>
      <c r="AK621" s="71"/>
      <c r="AL621" s="71"/>
      <c r="AM621" s="71"/>
      <c r="AN621" s="71"/>
      <c r="AO621" s="71"/>
      <c r="AP621" s="71"/>
      <c r="AQ621" s="71"/>
      <c r="AR621" s="71"/>
    </row>
    <row r="622" ht="15.75" customHeight="1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  <c r="AA622" s="71"/>
      <c r="AB622" s="71"/>
      <c r="AC622" s="71"/>
      <c r="AD622" s="71"/>
      <c r="AE622" s="71"/>
      <c r="AF622" s="71"/>
      <c r="AG622" s="71"/>
      <c r="AH622" s="71"/>
      <c r="AI622" s="71"/>
      <c r="AJ622" s="71"/>
      <c r="AK622" s="71"/>
      <c r="AL622" s="71"/>
      <c r="AM622" s="71"/>
      <c r="AN622" s="71"/>
      <c r="AO622" s="71"/>
      <c r="AP622" s="71"/>
      <c r="AQ622" s="71"/>
      <c r="AR622" s="71"/>
    </row>
    <row r="623" ht="15.75" customHeight="1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  <c r="AA623" s="71"/>
      <c r="AB623" s="71"/>
      <c r="AC623" s="71"/>
      <c r="AD623" s="71"/>
      <c r="AE623" s="71"/>
      <c r="AF623" s="71"/>
      <c r="AG623" s="71"/>
      <c r="AH623" s="71"/>
      <c r="AI623" s="71"/>
      <c r="AJ623" s="71"/>
      <c r="AK623" s="71"/>
      <c r="AL623" s="71"/>
      <c r="AM623" s="71"/>
      <c r="AN623" s="71"/>
      <c r="AO623" s="71"/>
      <c r="AP623" s="71"/>
      <c r="AQ623" s="71"/>
      <c r="AR623" s="71"/>
    </row>
    <row r="624" ht="15.75" customHeight="1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  <c r="AA624" s="71"/>
      <c r="AB624" s="71"/>
      <c r="AC624" s="71"/>
      <c r="AD624" s="71"/>
      <c r="AE624" s="71"/>
      <c r="AF624" s="71"/>
      <c r="AG624" s="71"/>
      <c r="AH624" s="71"/>
      <c r="AI624" s="71"/>
      <c r="AJ624" s="71"/>
      <c r="AK624" s="71"/>
      <c r="AL624" s="71"/>
      <c r="AM624" s="71"/>
      <c r="AN624" s="71"/>
      <c r="AO624" s="71"/>
      <c r="AP624" s="71"/>
      <c r="AQ624" s="71"/>
      <c r="AR624" s="71"/>
    </row>
    <row r="625" ht="15.75" customHeight="1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  <c r="AA625" s="71"/>
      <c r="AB625" s="71"/>
      <c r="AC625" s="71"/>
      <c r="AD625" s="71"/>
      <c r="AE625" s="71"/>
      <c r="AF625" s="71"/>
      <c r="AG625" s="71"/>
      <c r="AH625" s="71"/>
      <c r="AI625" s="71"/>
      <c r="AJ625" s="71"/>
      <c r="AK625" s="71"/>
      <c r="AL625" s="71"/>
      <c r="AM625" s="71"/>
      <c r="AN625" s="71"/>
      <c r="AO625" s="71"/>
      <c r="AP625" s="71"/>
      <c r="AQ625" s="71"/>
      <c r="AR625" s="71"/>
    </row>
    <row r="626" ht="15.75" customHeight="1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  <c r="AA626" s="71"/>
      <c r="AB626" s="71"/>
      <c r="AC626" s="71"/>
      <c r="AD626" s="71"/>
      <c r="AE626" s="71"/>
      <c r="AF626" s="71"/>
      <c r="AG626" s="71"/>
      <c r="AH626" s="71"/>
      <c r="AI626" s="71"/>
      <c r="AJ626" s="71"/>
      <c r="AK626" s="71"/>
      <c r="AL626" s="71"/>
      <c r="AM626" s="71"/>
      <c r="AN626" s="71"/>
      <c r="AO626" s="71"/>
      <c r="AP626" s="71"/>
      <c r="AQ626" s="71"/>
      <c r="AR626" s="71"/>
    </row>
    <row r="627" ht="15.75" customHeight="1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  <c r="AA627" s="71"/>
      <c r="AB627" s="71"/>
      <c r="AC627" s="71"/>
      <c r="AD627" s="71"/>
      <c r="AE627" s="71"/>
      <c r="AF627" s="71"/>
      <c r="AG627" s="71"/>
      <c r="AH627" s="71"/>
      <c r="AI627" s="71"/>
      <c r="AJ627" s="71"/>
      <c r="AK627" s="71"/>
      <c r="AL627" s="71"/>
      <c r="AM627" s="71"/>
      <c r="AN627" s="71"/>
      <c r="AO627" s="71"/>
      <c r="AP627" s="71"/>
      <c r="AQ627" s="71"/>
      <c r="AR627" s="71"/>
    </row>
    <row r="628" ht="15.75" customHeight="1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  <c r="AA628" s="71"/>
      <c r="AB628" s="71"/>
      <c r="AC628" s="71"/>
      <c r="AD628" s="71"/>
      <c r="AE628" s="71"/>
      <c r="AF628" s="71"/>
      <c r="AG628" s="71"/>
      <c r="AH628" s="71"/>
      <c r="AI628" s="71"/>
      <c r="AJ628" s="71"/>
      <c r="AK628" s="71"/>
      <c r="AL628" s="71"/>
      <c r="AM628" s="71"/>
      <c r="AN628" s="71"/>
      <c r="AO628" s="71"/>
      <c r="AP628" s="71"/>
      <c r="AQ628" s="71"/>
      <c r="AR628" s="71"/>
    </row>
    <row r="629" ht="15.75" customHeight="1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  <c r="AA629" s="71"/>
      <c r="AB629" s="71"/>
      <c r="AC629" s="71"/>
      <c r="AD629" s="71"/>
      <c r="AE629" s="71"/>
      <c r="AF629" s="71"/>
      <c r="AG629" s="71"/>
      <c r="AH629" s="71"/>
      <c r="AI629" s="71"/>
      <c r="AJ629" s="71"/>
      <c r="AK629" s="71"/>
      <c r="AL629" s="71"/>
      <c r="AM629" s="71"/>
      <c r="AN629" s="71"/>
      <c r="AO629" s="71"/>
      <c r="AP629" s="71"/>
      <c r="AQ629" s="71"/>
      <c r="AR629" s="71"/>
    </row>
    <row r="630" ht="15.75" customHeight="1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  <c r="AA630" s="71"/>
      <c r="AB630" s="71"/>
      <c r="AC630" s="71"/>
      <c r="AD630" s="71"/>
      <c r="AE630" s="71"/>
      <c r="AF630" s="71"/>
      <c r="AG630" s="71"/>
      <c r="AH630" s="71"/>
      <c r="AI630" s="71"/>
      <c r="AJ630" s="71"/>
      <c r="AK630" s="71"/>
      <c r="AL630" s="71"/>
      <c r="AM630" s="71"/>
      <c r="AN630" s="71"/>
      <c r="AO630" s="71"/>
      <c r="AP630" s="71"/>
      <c r="AQ630" s="71"/>
      <c r="AR630" s="71"/>
    </row>
    <row r="631" ht="15.75" customHeight="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  <c r="AA631" s="71"/>
      <c r="AB631" s="71"/>
      <c r="AC631" s="71"/>
      <c r="AD631" s="71"/>
      <c r="AE631" s="71"/>
      <c r="AF631" s="71"/>
      <c r="AG631" s="71"/>
      <c r="AH631" s="71"/>
      <c r="AI631" s="71"/>
      <c r="AJ631" s="71"/>
      <c r="AK631" s="71"/>
      <c r="AL631" s="71"/>
      <c r="AM631" s="71"/>
      <c r="AN631" s="71"/>
      <c r="AO631" s="71"/>
      <c r="AP631" s="71"/>
      <c r="AQ631" s="71"/>
      <c r="AR631" s="71"/>
    </row>
    <row r="632" ht="15.75" customHeight="1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  <c r="AA632" s="71"/>
      <c r="AB632" s="71"/>
      <c r="AC632" s="71"/>
      <c r="AD632" s="71"/>
      <c r="AE632" s="71"/>
      <c r="AF632" s="71"/>
      <c r="AG632" s="71"/>
      <c r="AH632" s="71"/>
      <c r="AI632" s="71"/>
      <c r="AJ632" s="71"/>
      <c r="AK632" s="71"/>
      <c r="AL632" s="71"/>
      <c r="AM632" s="71"/>
      <c r="AN632" s="71"/>
      <c r="AO632" s="71"/>
      <c r="AP632" s="71"/>
      <c r="AQ632" s="71"/>
      <c r="AR632" s="71"/>
    </row>
    <row r="633" ht="15.75" customHeight="1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  <c r="AA633" s="71"/>
      <c r="AB633" s="71"/>
      <c r="AC633" s="71"/>
      <c r="AD633" s="71"/>
      <c r="AE633" s="71"/>
      <c r="AF633" s="71"/>
      <c r="AG633" s="71"/>
      <c r="AH633" s="71"/>
      <c r="AI633" s="71"/>
      <c r="AJ633" s="71"/>
      <c r="AK633" s="71"/>
      <c r="AL633" s="71"/>
      <c r="AM633" s="71"/>
      <c r="AN633" s="71"/>
      <c r="AO633" s="71"/>
      <c r="AP633" s="71"/>
      <c r="AQ633" s="71"/>
      <c r="AR633" s="71"/>
    </row>
    <row r="634" ht="15.75" customHeight="1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  <c r="AA634" s="71"/>
      <c r="AB634" s="71"/>
      <c r="AC634" s="71"/>
      <c r="AD634" s="71"/>
      <c r="AE634" s="71"/>
      <c r="AF634" s="71"/>
      <c r="AG634" s="71"/>
      <c r="AH634" s="71"/>
      <c r="AI634" s="71"/>
      <c r="AJ634" s="71"/>
      <c r="AK634" s="71"/>
      <c r="AL634" s="71"/>
      <c r="AM634" s="71"/>
      <c r="AN634" s="71"/>
      <c r="AO634" s="71"/>
      <c r="AP634" s="71"/>
      <c r="AQ634" s="71"/>
      <c r="AR634" s="71"/>
    </row>
    <row r="635" ht="15.75" customHeight="1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  <c r="AA635" s="71"/>
      <c r="AB635" s="71"/>
      <c r="AC635" s="71"/>
      <c r="AD635" s="71"/>
      <c r="AE635" s="71"/>
      <c r="AF635" s="71"/>
      <c r="AG635" s="71"/>
      <c r="AH635" s="71"/>
      <c r="AI635" s="71"/>
      <c r="AJ635" s="71"/>
      <c r="AK635" s="71"/>
      <c r="AL635" s="71"/>
      <c r="AM635" s="71"/>
      <c r="AN635" s="71"/>
      <c r="AO635" s="71"/>
      <c r="AP635" s="71"/>
      <c r="AQ635" s="71"/>
      <c r="AR635" s="71"/>
    </row>
    <row r="636" ht="15.75" customHeight="1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  <c r="AA636" s="71"/>
      <c r="AB636" s="71"/>
      <c r="AC636" s="71"/>
      <c r="AD636" s="71"/>
      <c r="AE636" s="71"/>
      <c r="AF636" s="71"/>
      <c r="AG636" s="71"/>
      <c r="AH636" s="71"/>
      <c r="AI636" s="71"/>
      <c r="AJ636" s="71"/>
      <c r="AK636" s="71"/>
      <c r="AL636" s="71"/>
      <c r="AM636" s="71"/>
      <c r="AN636" s="71"/>
      <c r="AO636" s="71"/>
      <c r="AP636" s="71"/>
      <c r="AQ636" s="71"/>
      <c r="AR636" s="71"/>
    </row>
    <row r="637" ht="15.75" customHeight="1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  <c r="AA637" s="71"/>
      <c r="AB637" s="71"/>
      <c r="AC637" s="71"/>
      <c r="AD637" s="71"/>
      <c r="AE637" s="71"/>
      <c r="AF637" s="71"/>
      <c r="AG637" s="71"/>
      <c r="AH637" s="71"/>
      <c r="AI637" s="71"/>
      <c r="AJ637" s="71"/>
      <c r="AK637" s="71"/>
      <c r="AL637" s="71"/>
      <c r="AM637" s="71"/>
      <c r="AN637" s="71"/>
      <c r="AO637" s="71"/>
      <c r="AP637" s="71"/>
      <c r="AQ637" s="71"/>
      <c r="AR637" s="71"/>
    </row>
    <row r="638" ht="15.75" customHeight="1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  <c r="AA638" s="71"/>
      <c r="AB638" s="71"/>
      <c r="AC638" s="71"/>
      <c r="AD638" s="71"/>
      <c r="AE638" s="71"/>
      <c r="AF638" s="71"/>
      <c r="AG638" s="71"/>
      <c r="AH638" s="71"/>
      <c r="AI638" s="71"/>
      <c r="AJ638" s="71"/>
      <c r="AK638" s="71"/>
      <c r="AL638" s="71"/>
      <c r="AM638" s="71"/>
      <c r="AN638" s="71"/>
      <c r="AO638" s="71"/>
      <c r="AP638" s="71"/>
      <c r="AQ638" s="71"/>
      <c r="AR638" s="71"/>
    </row>
    <row r="639" ht="15.75" customHeight="1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  <c r="AA639" s="71"/>
      <c r="AB639" s="71"/>
      <c r="AC639" s="71"/>
      <c r="AD639" s="71"/>
      <c r="AE639" s="71"/>
      <c r="AF639" s="71"/>
      <c r="AG639" s="71"/>
      <c r="AH639" s="71"/>
      <c r="AI639" s="71"/>
      <c r="AJ639" s="71"/>
      <c r="AK639" s="71"/>
      <c r="AL639" s="71"/>
      <c r="AM639" s="71"/>
      <c r="AN639" s="71"/>
      <c r="AO639" s="71"/>
      <c r="AP639" s="71"/>
      <c r="AQ639" s="71"/>
      <c r="AR639" s="71"/>
    </row>
    <row r="640" ht="15.75" customHeight="1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  <c r="AA640" s="71"/>
      <c r="AB640" s="71"/>
      <c r="AC640" s="71"/>
      <c r="AD640" s="71"/>
      <c r="AE640" s="71"/>
      <c r="AF640" s="71"/>
      <c r="AG640" s="71"/>
      <c r="AH640" s="71"/>
      <c r="AI640" s="71"/>
      <c r="AJ640" s="71"/>
      <c r="AK640" s="71"/>
      <c r="AL640" s="71"/>
      <c r="AM640" s="71"/>
      <c r="AN640" s="71"/>
      <c r="AO640" s="71"/>
      <c r="AP640" s="71"/>
      <c r="AQ640" s="71"/>
      <c r="AR640" s="71"/>
    </row>
    <row r="641" ht="15.75" customHeight="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  <c r="AA641" s="71"/>
      <c r="AB641" s="71"/>
      <c r="AC641" s="71"/>
      <c r="AD641" s="71"/>
      <c r="AE641" s="71"/>
      <c r="AF641" s="71"/>
      <c r="AG641" s="71"/>
      <c r="AH641" s="71"/>
      <c r="AI641" s="71"/>
      <c r="AJ641" s="71"/>
      <c r="AK641" s="71"/>
      <c r="AL641" s="71"/>
      <c r="AM641" s="71"/>
      <c r="AN641" s="71"/>
      <c r="AO641" s="71"/>
      <c r="AP641" s="71"/>
      <c r="AQ641" s="71"/>
      <c r="AR641" s="71"/>
    </row>
    <row r="642" ht="15.75" customHeight="1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  <c r="AA642" s="71"/>
      <c r="AB642" s="71"/>
      <c r="AC642" s="71"/>
      <c r="AD642" s="71"/>
      <c r="AE642" s="71"/>
      <c r="AF642" s="71"/>
      <c r="AG642" s="71"/>
      <c r="AH642" s="71"/>
      <c r="AI642" s="71"/>
      <c r="AJ642" s="71"/>
      <c r="AK642" s="71"/>
      <c r="AL642" s="71"/>
      <c r="AM642" s="71"/>
      <c r="AN642" s="71"/>
      <c r="AO642" s="71"/>
      <c r="AP642" s="71"/>
      <c r="AQ642" s="71"/>
      <c r="AR642" s="71"/>
    </row>
    <row r="643" ht="15.75" customHeight="1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  <c r="AA643" s="71"/>
      <c r="AB643" s="71"/>
      <c r="AC643" s="71"/>
      <c r="AD643" s="71"/>
      <c r="AE643" s="71"/>
      <c r="AF643" s="71"/>
      <c r="AG643" s="71"/>
      <c r="AH643" s="71"/>
      <c r="AI643" s="71"/>
      <c r="AJ643" s="71"/>
      <c r="AK643" s="71"/>
      <c r="AL643" s="71"/>
      <c r="AM643" s="71"/>
      <c r="AN643" s="71"/>
      <c r="AO643" s="71"/>
      <c r="AP643" s="71"/>
      <c r="AQ643" s="71"/>
      <c r="AR643" s="71"/>
    </row>
    <row r="644" ht="15.75" customHeight="1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  <c r="AA644" s="71"/>
      <c r="AB644" s="71"/>
      <c r="AC644" s="71"/>
      <c r="AD644" s="71"/>
      <c r="AE644" s="71"/>
      <c r="AF644" s="71"/>
      <c r="AG644" s="71"/>
      <c r="AH644" s="71"/>
      <c r="AI644" s="71"/>
      <c r="AJ644" s="71"/>
      <c r="AK644" s="71"/>
      <c r="AL644" s="71"/>
      <c r="AM644" s="71"/>
      <c r="AN644" s="71"/>
      <c r="AO644" s="71"/>
      <c r="AP644" s="71"/>
      <c r="AQ644" s="71"/>
      <c r="AR644" s="71"/>
    </row>
    <row r="645" ht="15.75" customHeight="1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  <c r="AA645" s="71"/>
      <c r="AB645" s="71"/>
      <c r="AC645" s="71"/>
      <c r="AD645" s="71"/>
      <c r="AE645" s="71"/>
      <c r="AF645" s="71"/>
      <c r="AG645" s="71"/>
      <c r="AH645" s="71"/>
      <c r="AI645" s="71"/>
      <c r="AJ645" s="71"/>
      <c r="AK645" s="71"/>
      <c r="AL645" s="71"/>
      <c r="AM645" s="71"/>
      <c r="AN645" s="71"/>
      <c r="AO645" s="71"/>
      <c r="AP645" s="71"/>
      <c r="AQ645" s="71"/>
      <c r="AR645" s="71"/>
    </row>
    <row r="646" ht="15.75" customHeight="1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  <c r="AA646" s="71"/>
      <c r="AB646" s="71"/>
      <c r="AC646" s="71"/>
      <c r="AD646" s="71"/>
      <c r="AE646" s="71"/>
      <c r="AF646" s="71"/>
      <c r="AG646" s="71"/>
      <c r="AH646" s="71"/>
      <c r="AI646" s="71"/>
      <c r="AJ646" s="71"/>
      <c r="AK646" s="71"/>
      <c r="AL646" s="71"/>
      <c r="AM646" s="71"/>
      <c r="AN646" s="71"/>
      <c r="AO646" s="71"/>
      <c r="AP646" s="71"/>
      <c r="AQ646" s="71"/>
      <c r="AR646" s="71"/>
    </row>
    <row r="647" ht="15.75" customHeight="1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  <c r="AA647" s="71"/>
      <c r="AB647" s="71"/>
      <c r="AC647" s="71"/>
      <c r="AD647" s="71"/>
      <c r="AE647" s="71"/>
      <c r="AF647" s="71"/>
      <c r="AG647" s="71"/>
      <c r="AH647" s="71"/>
      <c r="AI647" s="71"/>
      <c r="AJ647" s="71"/>
      <c r="AK647" s="71"/>
      <c r="AL647" s="71"/>
      <c r="AM647" s="71"/>
      <c r="AN647" s="71"/>
      <c r="AO647" s="71"/>
      <c r="AP647" s="71"/>
      <c r="AQ647" s="71"/>
      <c r="AR647" s="71"/>
    </row>
    <row r="648" ht="15.75" customHeight="1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  <c r="AA648" s="71"/>
      <c r="AB648" s="71"/>
      <c r="AC648" s="71"/>
      <c r="AD648" s="71"/>
      <c r="AE648" s="71"/>
      <c r="AF648" s="71"/>
      <c r="AG648" s="71"/>
      <c r="AH648" s="71"/>
      <c r="AI648" s="71"/>
      <c r="AJ648" s="71"/>
      <c r="AK648" s="71"/>
      <c r="AL648" s="71"/>
      <c r="AM648" s="71"/>
      <c r="AN648" s="71"/>
      <c r="AO648" s="71"/>
      <c r="AP648" s="71"/>
      <c r="AQ648" s="71"/>
      <c r="AR648" s="71"/>
    </row>
    <row r="649" ht="15.75" customHeight="1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  <c r="AA649" s="71"/>
      <c r="AB649" s="71"/>
      <c r="AC649" s="71"/>
      <c r="AD649" s="71"/>
      <c r="AE649" s="71"/>
      <c r="AF649" s="71"/>
      <c r="AG649" s="71"/>
      <c r="AH649" s="71"/>
      <c r="AI649" s="71"/>
      <c r="AJ649" s="71"/>
      <c r="AK649" s="71"/>
      <c r="AL649" s="71"/>
      <c r="AM649" s="71"/>
      <c r="AN649" s="71"/>
      <c r="AO649" s="71"/>
      <c r="AP649" s="71"/>
      <c r="AQ649" s="71"/>
      <c r="AR649" s="71"/>
    </row>
    <row r="650" ht="15.75" customHeight="1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  <c r="AA650" s="71"/>
      <c r="AB650" s="71"/>
      <c r="AC650" s="71"/>
      <c r="AD650" s="71"/>
      <c r="AE650" s="71"/>
      <c r="AF650" s="71"/>
      <c r="AG650" s="71"/>
      <c r="AH650" s="71"/>
      <c r="AI650" s="71"/>
      <c r="AJ650" s="71"/>
      <c r="AK650" s="71"/>
      <c r="AL650" s="71"/>
      <c r="AM650" s="71"/>
      <c r="AN650" s="71"/>
      <c r="AO650" s="71"/>
      <c r="AP650" s="71"/>
      <c r="AQ650" s="71"/>
      <c r="AR650" s="71"/>
    </row>
    <row r="651" ht="15.75" customHeight="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  <c r="AA651" s="71"/>
      <c r="AB651" s="71"/>
      <c r="AC651" s="71"/>
      <c r="AD651" s="71"/>
      <c r="AE651" s="71"/>
      <c r="AF651" s="71"/>
      <c r="AG651" s="71"/>
      <c r="AH651" s="71"/>
      <c r="AI651" s="71"/>
      <c r="AJ651" s="71"/>
      <c r="AK651" s="71"/>
      <c r="AL651" s="71"/>
      <c r="AM651" s="71"/>
      <c r="AN651" s="71"/>
      <c r="AO651" s="71"/>
      <c r="AP651" s="71"/>
      <c r="AQ651" s="71"/>
      <c r="AR651" s="71"/>
    </row>
    <row r="652" ht="15.75" customHeight="1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  <c r="AA652" s="71"/>
      <c r="AB652" s="71"/>
      <c r="AC652" s="71"/>
      <c r="AD652" s="71"/>
      <c r="AE652" s="71"/>
      <c r="AF652" s="71"/>
      <c r="AG652" s="71"/>
      <c r="AH652" s="71"/>
      <c r="AI652" s="71"/>
      <c r="AJ652" s="71"/>
      <c r="AK652" s="71"/>
      <c r="AL652" s="71"/>
      <c r="AM652" s="71"/>
      <c r="AN652" s="71"/>
      <c r="AO652" s="71"/>
      <c r="AP652" s="71"/>
      <c r="AQ652" s="71"/>
      <c r="AR652" s="71"/>
    </row>
    <row r="653" ht="15.75" customHeight="1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  <c r="AA653" s="71"/>
      <c r="AB653" s="71"/>
      <c r="AC653" s="71"/>
      <c r="AD653" s="71"/>
      <c r="AE653" s="71"/>
      <c r="AF653" s="71"/>
      <c r="AG653" s="71"/>
      <c r="AH653" s="71"/>
      <c r="AI653" s="71"/>
      <c r="AJ653" s="71"/>
      <c r="AK653" s="71"/>
      <c r="AL653" s="71"/>
      <c r="AM653" s="71"/>
      <c r="AN653" s="71"/>
      <c r="AO653" s="71"/>
      <c r="AP653" s="71"/>
      <c r="AQ653" s="71"/>
      <c r="AR653" s="71"/>
    </row>
    <row r="654" ht="15.75" customHeight="1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  <c r="AA654" s="71"/>
      <c r="AB654" s="71"/>
      <c r="AC654" s="71"/>
      <c r="AD654" s="71"/>
      <c r="AE654" s="71"/>
      <c r="AF654" s="71"/>
      <c r="AG654" s="71"/>
      <c r="AH654" s="71"/>
      <c r="AI654" s="71"/>
      <c r="AJ654" s="71"/>
      <c r="AK654" s="71"/>
      <c r="AL654" s="71"/>
      <c r="AM654" s="71"/>
      <c r="AN654" s="71"/>
      <c r="AO654" s="71"/>
      <c r="AP654" s="71"/>
      <c r="AQ654" s="71"/>
      <c r="AR654" s="71"/>
    </row>
    <row r="655" ht="15.75" customHeight="1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  <c r="AA655" s="71"/>
      <c r="AB655" s="71"/>
      <c r="AC655" s="71"/>
      <c r="AD655" s="71"/>
      <c r="AE655" s="71"/>
      <c r="AF655" s="71"/>
      <c r="AG655" s="71"/>
      <c r="AH655" s="71"/>
      <c r="AI655" s="71"/>
      <c r="AJ655" s="71"/>
      <c r="AK655" s="71"/>
      <c r="AL655" s="71"/>
      <c r="AM655" s="71"/>
      <c r="AN655" s="71"/>
      <c r="AO655" s="71"/>
      <c r="AP655" s="71"/>
      <c r="AQ655" s="71"/>
      <c r="AR655" s="71"/>
    </row>
    <row r="656" ht="15.75" customHeight="1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  <c r="AA656" s="71"/>
      <c r="AB656" s="71"/>
      <c r="AC656" s="71"/>
      <c r="AD656" s="71"/>
      <c r="AE656" s="71"/>
      <c r="AF656" s="71"/>
      <c r="AG656" s="71"/>
      <c r="AH656" s="71"/>
      <c r="AI656" s="71"/>
      <c r="AJ656" s="71"/>
      <c r="AK656" s="71"/>
      <c r="AL656" s="71"/>
      <c r="AM656" s="71"/>
      <c r="AN656" s="71"/>
      <c r="AO656" s="71"/>
      <c r="AP656" s="71"/>
      <c r="AQ656" s="71"/>
      <c r="AR656" s="71"/>
    </row>
    <row r="657" ht="15.75" customHeight="1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  <c r="AA657" s="71"/>
      <c r="AB657" s="71"/>
      <c r="AC657" s="71"/>
      <c r="AD657" s="71"/>
      <c r="AE657" s="71"/>
      <c r="AF657" s="71"/>
      <c r="AG657" s="71"/>
      <c r="AH657" s="71"/>
      <c r="AI657" s="71"/>
      <c r="AJ657" s="71"/>
      <c r="AK657" s="71"/>
      <c r="AL657" s="71"/>
      <c r="AM657" s="71"/>
      <c r="AN657" s="71"/>
      <c r="AO657" s="71"/>
      <c r="AP657" s="71"/>
      <c r="AQ657" s="71"/>
      <c r="AR657" s="71"/>
    </row>
    <row r="658" ht="15.75" customHeight="1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  <c r="AA658" s="71"/>
      <c r="AB658" s="71"/>
      <c r="AC658" s="71"/>
      <c r="AD658" s="71"/>
      <c r="AE658" s="71"/>
      <c r="AF658" s="71"/>
      <c r="AG658" s="71"/>
      <c r="AH658" s="71"/>
      <c r="AI658" s="71"/>
      <c r="AJ658" s="71"/>
      <c r="AK658" s="71"/>
      <c r="AL658" s="71"/>
      <c r="AM658" s="71"/>
      <c r="AN658" s="71"/>
      <c r="AO658" s="71"/>
      <c r="AP658" s="71"/>
      <c r="AQ658" s="71"/>
      <c r="AR658" s="71"/>
    </row>
    <row r="659" ht="15.75" customHeight="1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  <c r="AA659" s="71"/>
      <c r="AB659" s="71"/>
      <c r="AC659" s="71"/>
      <c r="AD659" s="71"/>
      <c r="AE659" s="71"/>
      <c r="AF659" s="71"/>
      <c r="AG659" s="71"/>
      <c r="AH659" s="71"/>
      <c r="AI659" s="71"/>
      <c r="AJ659" s="71"/>
      <c r="AK659" s="71"/>
      <c r="AL659" s="71"/>
      <c r="AM659" s="71"/>
      <c r="AN659" s="71"/>
      <c r="AO659" s="71"/>
      <c r="AP659" s="71"/>
      <c r="AQ659" s="71"/>
      <c r="AR659" s="71"/>
    </row>
    <row r="660" ht="15.75" customHeight="1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  <c r="AA660" s="71"/>
      <c r="AB660" s="71"/>
      <c r="AC660" s="71"/>
      <c r="AD660" s="71"/>
      <c r="AE660" s="71"/>
      <c r="AF660" s="71"/>
      <c r="AG660" s="71"/>
      <c r="AH660" s="71"/>
      <c r="AI660" s="71"/>
      <c r="AJ660" s="71"/>
      <c r="AK660" s="71"/>
      <c r="AL660" s="71"/>
      <c r="AM660" s="71"/>
      <c r="AN660" s="71"/>
      <c r="AO660" s="71"/>
      <c r="AP660" s="71"/>
      <c r="AQ660" s="71"/>
      <c r="AR660" s="71"/>
    </row>
    <row r="661" ht="15.75" customHeight="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  <c r="AA661" s="71"/>
      <c r="AB661" s="71"/>
      <c r="AC661" s="71"/>
      <c r="AD661" s="71"/>
      <c r="AE661" s="71"/>
      <c r="AF661" s="71"/>
      <c r="AG661" s="71"/>
      <c r="AH661" s="71"/>
      <c r="AI661" s="71"/>
      <c r="AJ661" s="71"/>
      <c r="AK661" s="71"/>
      <c r="AL661" s="71"/>
      <c r="AM661" s="71"/>
      <c r="AN661" s="71"/>
      <c r="AO661" s="71"/>
      <c r="AP661" s="71"/>
      <c r="AQ661" s="71"/>
      <c r="AR661" s="71"/>
    </row>
    <row r="662" ht="15.75" customHeight="1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  <c r="AA662" s="71"/>
      <c r="AB662" s="71"/>
      <c r="AC662" s="71"/>
      <c r="AD662" s="71"/>
      <c r="AE662" s="71"/>
      <c r="AF662" s="71"/>
      <c r="AG662" s="71"/>
      <c r="AH662" s="71"/>
      <c r="AI662" s="71"/>
      <c r="AJ662" s="71"/>
      <c r="AK662" s="71"/>
      <c r="AL662" s="71"/>
      <c r="AM662" s="71"/>
      <c r="AN662" s="71"/>
      <c r="AO662" s="71"/>
      <c r="AP662" s="71"/>
      <c r="AQ662" s="71"/>
      <c r="AR662" s="71"/>
    </row>
    <row r="663" ht="15.75" customHeight="1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  <c r="AA663" s="71"/>
      <c r="AB663" s="71"/>
      <c r="AC663" s="71"/>
      <c r="AD663" s="71"/>
      <c r="AE663" s="71"/>
      <c r="AF663" s="71"/>
      <c r="AG663" s="71"/>
      <c r="AH663" s="71"/>
      <c r="AI663" s="71"/>
      <c r="AJ663" s="71"/>
      <c r="AK663" s="71"/>
      <c r="AL663" s="71"/>
      <c r="AM663" s="71"/>
      <c r="AN663" s="71"/>
      <c r="AO663" s="71"/>
      <c r="AP663" s="71"/>
      <c r="AQ663" s="71"/>
      <c r="AR663" s="71"/>
    </row>
    <row r="664" ht="15.75" customHeight="1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  <c r="AA664" s="71"/>
      <c r="AB664" s="71"/>
      <c r="AC664" s="71"/>
      <c r="AD664" s="71"/>
      <c r="AE664" s="71"/>
      <c r="AF664" s="71"/>
      <c r="AG664" s="71"/>
      <c r="AH664" s="71"/>
      <c r="AI664" s="71"/>
      <c r="AJ664" s="71"/>
      <c r="AK664" s="71"/>
      <c r="AL664" s="71"/>
      <c r="AM664" s="71"/>
      <c r="AN664" s="71"/>
      <c r="AO664" s="71"/>
      <c r="AP664" s="71"/>
      <c r="AQ664" s="71"/>
      <c r="AR664" s="71"/>
    </row>
    <row r="665" ht="15.75" customHeight="1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  <c r="AA665" s="71"/>
      <c r="AB665" s="71"/>
      <c r="AC665" s="71"/>
      <c r="AD665" s="71"/>
      <c r="AE665" s="71"/>
      <c r="AF665" s="71"/>
      <c r="AG665" s="71"/>
      <c r="AH665" s="71"/>
      <c r="AI665" s="71"/>
      <c r="AJ665" s="71"/>
      <c r="AK665" s="71"/>
      <c r="AL665" s="71"/>
      <c r="AM665" s="71"/>
      <c r="AN665" s="71"/>
      <c r="AO665" s="71"/>
      <c r="AP665" s="71"/>
      <c r="AQ665" s="71"/>
      <c r="AR665" s="71"/>
    </row>
    <row r="666" ht="15.75" customHeight="1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  <c r="AA666" s="71"/>
      <c r="AB666" s="71"/>
      <c r="AC666" s="71"/>
      <c r="AD666" s="71"/>
      <c r="AE666" s="71"/>
      <c r="AF666" s="71"/>
      <c r="AG666" s="71"/>
      <c r="AH666" s="71"/>
      <c r="AI666" s="71"/>
      <c r="AJ666" s="71"/>
      <c r="AK666" s="71"/>
      <c r="AL666" s="71"/>
      <c r="AM666" s="71"/>
      <c r="AN666" s="71"/>
      <c r="AO666" s="71"/>
      <c r="AP666" s="71"/>
      <c r="AQ666" s="71"/>
      <c r="AR666" s="71"/>
    </row>
    <row r="667" ht="15.75" customHeight="1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  <c r="AA667" s="71"/>
      <c r="AB667" s="71"/>
      <c r="AC667" s="71"/>
      <c r="AD667" s="71"/>
      <c r="AE667" s="71"/>
      <c r="AF667" s="71"/>
      <c r="AG667" s="71"/>
      <c r="AH667" s="71"/>
      <c r="AI667" s="71"/>
      <c r="AJ667" s="71"/>
      <c r="AK667" s="71"/>
      <c r="AL667" s="71"/>
      <c r="AM667" s="71"/>
      <c r="AN667" s="71"/>
      <c r="AO667" s="71"/>
      <c r="AP667" s="71"/>
      <c r="AQ667" s="71"/>
      <c r="AR667" s="71"/>
    </row>
    <row r="668" ht="15.75" customHeight="1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  <c r="AA668" s="71"/>
      <c r="AB668" s="71"/>
      <c r="AC668" s="71"/>
      <c r="AD668" s="71"/>
      <c r="AE668" s="71"/>
      <c r="AF668" s="71"/>
      <c r="AG668" s="71"/>
      <c r="AH668" s="71"/>
      <c r="AI668" s="71"/>
      <c r="AJ668" s="71"/>
      <c r="AK668" s="71"/>
      <c r="AL668" s="71"/>
      <c r="AM668" s="71"/>
      <c r="AN668" s="71"/>
      <c r="AO668" s="71"/>
      <c r="AP668" s="71"/>
      <c r="AQ668" s="71"/>
      <c r="AR668" s="71"/>
    </row>
    <row r="669" ht="15.75" customHeight="1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  <c r="AA669" s="71"/>
      <c r="AB669" s="71"/>
      <c r="AC669" s="71"/>
      <c r="AD669" s="71"/>
      <c r="AE669" s="71"/>
      <c r="AF669" s="71"/>
      <c r="AG669" s="71"/>
      <c r="AH669" s="71"/>
      <c r="AI669" s="71"/>
      <c r="AJ669" s="71"/>
      <c r="AK669" s="71"/>
      <c r="AL669" s="71"/>
      <c r="AM669" s="71"/>
      <c r="AN669" s="71"/>
      <c r="AO669" s="71"/>
      <c r="AP669" s="71"/>
      <c r="AQ669" s="71"/>
      <c r="AR669" s="71"/>
    </row>
    <row r="670" ht="15.75" customHeight="1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  <c r="AA670" s="71"/>
      <c r="AB670" s="71"/>
      <c r="AC670" s="71"/>
      <c r="AD670" s="71"/>
      <c r="AE670" s="71"/>
      <c r="AF670" s="71"/>
      <c r="AG670" s="71"/>
      <c r="AH670" s="71"/>
      <c r="AI670" s="71"/>
      <c r="AJ670" s="71"/>
      <c r="AK670" s="71"/>
      <c r="AL670" s="71"/>
      <c r="AM670" s="71"/>
      <c r="AN670" s="71"/>
      <c r="AO670" s="71"/>
      <c r="AP670" s="71"/>
      <c r="AQ670" s="71"/>
      <c r="AR670" s="71"/>
    </row>
    <row r="671" ht="15.75" customHeight="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  <c r="AA671" s="71"/>
      <c r="AB671" s="71"/>
      <c r="AC671" s="71"/>
      <c r="AD671" s="71"/>
      <c r="AE671" s="71"/>
      <c r="AF671" s="71"/>
      <c r="AG671" s="71"/>
      <c r="AH671" s="71"/>
      <c r="AI671" s="71"/>
      <c r="AJ671" s="71"/>
      <c r="AK671" s="71"/>
      <c r="AL671" s="71"/>
      <c r="AM671" s="71"/>
      <c r="AN671" s="71"/>
      <c r="AO671" s="71"/>
      <c r="AP671" s="71"/>
      <c r="AQ671" s="71"/>
      <c r="AR671" s="71"/>
    </row>
    <row r="672" ht="15.75" customHeight="1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  <c r="AA672" s="71"/>
      <c r="AB672" s="71"/>
      <c r="AC672" s="71"/>
      <c r="AD672" s="71"/>
      <c r="AE672" s="71"/>
      <c r="AF672" s="71"/>
      <c r="AG672" s="71"/>
      <c r="AH672" s="71"/>
      <c r="AI672" s="71"/>
      <c r="AJ672" s="71"/>
      <c r="AK672" s="71"/>
      <c r="AL672" s="71"/>
      <c r="AM672" s="71"/>
      <c r="AN672" s="71"/>
      <c r="AO672" s="71"/>
      <c r="AP672" s="71"/>
      <c r="AQ672" s="71"/>
      <c r="AR672" s="71"/>
    </row>
    <row r="673" ht="15.75" customHeight="1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  <c r="AA673" s="71"/>
      <c r="AB673" s="71"/>
      <c r="AC673" s="71"/>
      <c r="AD673" s="71"/>
      <c r="AE673" s="71"/>
      <c r="AF673" s="71"/>
      <c r="AG673" s="71"/>
      <c r="AH673" s="71"/>
      <c r="AI673" s="71"/>
      <c r="AJ673" s="71"/>
      <c r="AK673" s="71"/>
      <c r="AL673" s="71"/>
      <c r="AM673" s="71"/>
      <c r="AN673" s="71"/>
      <c r="AO673" s="71"/>
      <c r="AP673" s="71"/>
      <c r="AQ673" s="71"/>
      <c r="AR673" s="71"/>
    </row>
    <row r="674" ht="15.75" customHeight="1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  <c r="AA674" s="71"/>
      <c r="AB674" s="71"/>
      <c r="AC674" s="71"/>
      <c r="AD674" s="71"/>
      <c r="AE674" s="71"/>
      <c r="AF674" s="71"/>
      <c r="AG674" s="71"/>
      <c r="AH674" s="71"/>
      <c r="AI674" s="71"/>
      <c r="AJ674" s="71"/>
      <c r="AK674" s="71"/>
      <c r="AL674" s="71"/>
      <c r="AM674" s="71"/>
      <c r="AN674" s="71"/>
      <c r="AO674" s="71"/>
      <c r="AP674" s="71"/>
      <c r="AQ674" s="71"/>
      <c r="AR674" s="71"/>
    </row>
    <row r="675" ht="15.75" customHeight="1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  <c r="AA675" s="71"/>
      <c r="AB675" s="71"/>
      <c r="AC675" s="71"/>
      <c r="AD675" s="71"/>
      <c r="AE675" s="71"/>
      <c r="AF675" s="71"/>
      <c r="AG675" s="71"/>
      <c r="AH675" s="71"/>
      <c r="AI675" s="71"/>
      <c r="AJ675" s="71"/>
      <c r="AK675" s="71"/>
      <c r="AL675" s="71"/>
      <c r="AM675" s="71"/>
      <c r="AN675" s="71"/>
      <c r="AO675" s="71"/>
      <c r="AP675" s="71"/>
      <c r="AQ675" s="71"/>
      <c r="AR675" s="71"/>
    </row>
    <row r="676" ht="15.75" customHeight="1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  <c r="AA676" s="71"/>
      <c r="AB676" s="71"/>
      <c r="AC676" s="71"/>
      <c r="AD676" s="71"/>
      <c r="AE676" s="71"/>
      <c r="AF676" s="71"/>
      <c r="AG676" s="71"/>
      <c r="AH676" s="71"/>
      <c r="AI676" s="71"/>
      <c r="AJ676" s="71"/>
      <c r="AK676" s="71"/>
      <c r="AL676" s="71"/>
      <c r="AM676" s="71"/>
      <c r="AN676" s="71"/>
      <c r="AO676" s="71"/>
      <c r="AP676" s="71"/>
      <c r="AQ676" s="71"/>
      <c r="AR676" s="71"/>
    </row>
    <row r="677" ht="15.75" customHeight="1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  <c r="AA677" s="71"/>
      <c r="AB677" s="71"/>
      <c r="AC677" s="71"/>
      <c r="AD677" s="71"/>
      <c r="AE677" s="71"/>
      <c r="AF677" s="71"/>
      <c r="AG677" s="71"/>
      <c r="AH677" s="71"/>
      <c r="AI677" s="71"/>
      <c r="AJ677" s="71"/>
      <c r="AK677" s="71"/>
      <c r="AL677" s="71"/>
      <c r="AM677" s="71"/>
      <c r="AN677" s="71"/>
      <c r="AO677" s="71"/>
      <c r="AP677" s="71"/>
      <c r="AQ677" s="71"/>
      <c r="AR677" s="71"/>
    </row>
    <row r="678" ht="15.75" customHeight="1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  <c r="AA678" s="71"/>
      <c r="AB678" s="71"/>
      <c r="AC678" s="71"/>
      <c r="AD678" s="71"/>
      <c r="AE678" s="71"/>
      <c r="AF678" s="71"/>
      <c r="AG678" s="71"/>
      <c r="AH678" s="71"/>
      <c r="AI678" s="71"/>
      <c r="AJ678" s="71"/>
      <c r="AK678" s="71"/>
      <c r="AL678" s="71"/>
      <c r="AM678" s="71"/>
      <c r="AN678" s="71"/>
      <c r="AO678" s="71"/>
      <c r="AP678" s="71"/>
      <c r="AQ678" s="71"/>
      <c r="AR678" s="71"/>
    </row>
    <row r="679" ht="15.75" customHeight="1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  <c r="AA679" s="71"/>
      <c r="AB679" s="71"/>
      <c r="AC679" s="71"/>
      <c r="AD679" s="71"/>
      <c r="AE679" s="71"/>
      <c r="AF679" s="71"/>
      <c r="AG679" s="71"/>
      <c r="AH679" s="71"/>
      <c r="AI679" s="71"/>
      <c r="AJ679" s="71"/>
      <c r="AK679" s="71"/>
      <c r="AL679" s="71"/>
      <c r="AM679" s="71"/>
      <c r="AN679" s="71"/>
      <c r="AO679" s="71"/>
      <c r="AP679" s="71"/>
      <c r="AQ679" s="71"/>
      <c r="AR679" s="71"/>
    </row>
    <row r="680" ht="15.75" customHeight="1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  <c r="AA680" s="71"/>
      <c r="AB680" s="71"/>
      <c r="AC680" s="71"/>
      <c r="AD680" s="71"/>
      <c r="AE680" s="71"/>
      <c r="AF680" s="71"/>
      <c r="AG680" s="71"/>
      <c r="AH680" s="71"/>
      <c r="AI680" s="71"/>
      <c r="AJ680" s="71"/>
      <c r="AK680" s="71"/>
      <c r="AL680" s="71"/>
      <c r="AM680" s="71"/>
      <c r="AN680" s="71"/>
      <c r="AO680" s="71"/>
      <c r="AP680" s="71"/>
      <c r="AQ680" s="71"/>
      <c r="AR680" s="71"/>
    </row>
    <row r="681" ht="15.75" customHeight="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  <c r="AA681" s="71"/>
      <c r="AB681" s="71"/>
      <c r="AC681" s="71"/>
      <c r="AD681" s="71"/>
      <c r="AE681" s="71"/>
      <c r="AF681" s="71"/>
      <c r="AG681" s="71"/>
      <c r="AH681" s="71"/>
      <c r="AI681" s="71"/>
      <c r="AJ681" s="71"/>
      <c r="AK681" s="71"/>
      <c r="AL681" s="71"/>
      <c r="AM681" s="71"/>
      <c r="AN681" s="71"/>
      <c r="AO681" s="71"/>
      <c r="AP681" s="71"/>
      <c r="AQ681" s="71"/>
      <c r="AR681" s="71"/>
    </row>
    <row r="682" ht="15.75" customHeight="1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  <c r="AA682" s="71"/>
      <c r="AB682" s="71"/>
      <c r="AC682" s="71"/>
      <c r="AD682" s="71"/>
      <c r="AE682" s="71"/>
      <c r="AF682" s="71"/>
      <c r="AG682" s="71"/>
      <c r="AH682" s="71"/>
      <c r="AI682" s="71"/>
      <c r="AJ682" s="71"/>
      <c r="AK682" s="71"/>
      <c r="AL682" s="71"/>
      <c r="AM682" s="71"/>
      <c r="AN682" s="71"/>
      <c r="AO682" s="71"/>
      <c r="AP682" s="71"/>
      <c r="AQ682" s="71"/>
      <c r="AR682" s="71"/>
    </row>
    <row r="683" ht="15.75" customHeight="1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  <c r="AA683" s="71"/>
      <c r="AB683" s="71"/>
      <c r="AC683" s="71"/>
      <c r="AD683" s="71"/>
      <c r="AE683" s="71"/>
      <c r="AF683" s="71"/>
      <c r="AG683" s="71"/>
      <c r="AH683" s="71"/>
      <c r="AI683" s="71"/>
      <c r="AJ683" s="71"/>
      <c r="AK683" s="71"/>
      <c r="AL683" s="71"/>
      <c r="AM683" s="71"/>
      <c r="AN683" s="71"/>
      <c r="AO683" s="71"/>
      <c r="AP683" s="71"/>
      <c r="AQ683" s="71"/>
      <c r="AR683" s="71"/>
    </row>
    <row r="684" ht="15.75" customHeight="1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  <c r="AA684" s="71"/>
      <c r="AB684" s="71"/>
      <c r="AC684" s="71"/>
      <c r="AD684" s="71"/>
      <c r="AE684" s="71"/>
      <c r="AF684" s="71"/>
      <c r="AG684" s="71"/>
      <c r="AH684" s="71"/>
      <c r="AI684" s="71"/>
      <c r="AJ684" s="71"/>
      <c r="AK684" s="71"/>
      <c r="AL684" s="71"/>
      <c r="AM684" s="71"/>
      <c r="AN684" s="71"/>
      <c r="AO684" s="71"/>
      <c r="AP684" s="71"/>
      <c r="AQ684" s="71"/>
      <c r="AR684" s="71"/>
    </row>
    <row r="685" ht="15.75" customHeight="1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  <c r="AA685" s="71"/>
      <c r="AB685" s="71"/>
      <c r="AC685" s="71"/>
      <c r="AD685" s="71"/>
      <c r="AE685" s="71"/>
      <c r="AF685" s="71"/>
      <c r="AG685" s="71"/>
      <c r="AH685" s="71"/>
      <c r="AI685" s="71"/>
      <c r="AJ685" s="71"/>
      <c r="AK685" s="71"/>
      <c r="AL685" s="71"/>
      <c r="AM685" s="71"/>
      <c r="AN685" s="71"/>
      <c r="AO685" s="71"/>
      <c r="AP685" s="71"/>
      <c r="AQ685" s="71"/>
      <c r="AR685" s="71"/>
    </row>
    <row r="686" ht="15.75" customHeight="1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  <c r="AA686" s="71"/>
      <c r="AB686" s="71"/>
      <c r="AC686" s="71"/>
      <c r="AD686" s="71"/>
      <c r="AE686" s="71"/>
      <c r="AF686" s="71"/>
      <c r="AG686" s="71"/>
      <c r="AH686" s="71"/>
      <c r="AI686" s="71"/>
      <c r="AJ686" s="71"/>
      <c r="AK686" s="71"/>
      <c r="AL686" s="71"/>
      <c r="AM686" s="71"/>
      <c r="AN686" s="71"/>
      <c r="AO686" s="71"/>
      <c r="AP686" s="71"/>
      <c r="AQ686" s="71"/>
      <c r="AR686" s="71"/>
    </row>
    <row r="687" ht="15.75" customHeight="1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  <c r="AA687" s="71"/>
      <c r="AB687" s="71"/>
      <c r="AC687" s="71"/>
      <c r="AD687" s="71"/>
      <c r="AE687" s="71"/>
      <c r="AF687" s="71"/>
      <c r="AG687" s="71"/>
      <c r="AH687" s="71"/>
      <c r="AI687" s="71"/>
      <c r="AJ687" s="71"/>
      <c r="AK687" s="71"/>
      <c r="AL687" s="71"/>
      <c r="AM687" s="71"/>
      <c r="AN687" s="71"/>
      <c r="AO687" s="71"/>
      <c r="AP687" s="71"/>
      <c r="AQ687" s="71"/>
      <c r="AR687" s="71"/>
    </row>
    <row r="688" ht="15.75" customHeight="1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  <c r="AA688" s="71"/>
      <c r="AB688" s="71"/>
      <c r="AC688" s="71"/>
      <c r="AD688" s="71"/>
      <c r="AE688" s="71"/>
      <c r="AF688" s="71"/>
      <c r="AG688" s="71"/>
      <c r="AH688" s="71"/>
      <c r="AI688" s="71"/>
      <c r="AJ688" s="71"/>
      <c r="AK688" s="71"/>
      <c r="AL688" s="71"/>
      <c r="AM688" s="71"/>
      <c r="AN688" s="71"/>
      <c r="AO688" s="71"/>
      <c r="AP688" s="71"/>
      <c r="AQ688" s="71"/>
      <c r="AR688" s="71"/>
    </row>
    <row r="689" ht="15.75" customHeight="1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  <c r="AA689" s="71"/>
      <c r="AB689" s="71"/>
      <c r="AC689" s="71"/>
      <c r="AD689" s="71"/>
      <c r="AE689" s="71"/>
      <c r="AF689" s="71"/>
      <c r="AG689" s="71"/>
      <c r="AH689" s="71"/>
      <c r="AI689" s="71"/>
      <c r="AJ689" s="71"/>
      <c r="AK689" s="71"/>
      <c r="AL689" s="71"/>
      <c r="AM689" s="71"/>
      <c r="AN689" s="71"/>
      <c r="AO689" s="71"/>
      <c r="AP689" s="71"/>
      <c r="AQ689" s="71"/>
      <c r="AR689" s="71"/>
    </row>
    <row r="690" ht="15.75" customHeight="1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  <c r="AA690" s="71"/>
      <c r="AB690" s="71"/>
      <c r="AC690" s="71"/>
      <c r="AD690" s="71"/>
      <c r="AE690" s="71"/>
      <c r="AF690" s="71"/>
      <c r="AG690" s="71"/>
      <c r="AH690" s="71"/>
      <c r="AI690" s="71"/>
      <c r="AJ690" s="71"/>
      <c r="AK690" s="71"/>
      <c r="AL690" s="71"/>
      <c r="AM690" s="71"/>
      <c r="AN690" s="71"/>
      <c r="AO690" s="71"/>
      <c r="AP690" s="71"/>
      <c r="AQ690" s="71"/>
      <c r="AR690" s="71"/>
    </row>
    <row r="691" ht="15.75" customHeight="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  <c r="AA691" s="71"/>
      <c r="AB691" s="71"/>
      <c r="AC691" s="71"/>
      <c r="AD691" s="71"/>
      <c r="AE691" s="71"/>
      <c r="AF691" s="71"/>
      <c r="AG691" s="71"/>
      <c r="AH691" s="71"/>
      <c r="AI691" s="71"/>
      <c r="AJ691" s="71"/>
      <c r="AK691" s="71"/>
      <c r="AL691" s="71"/>
      <c r="AM691" s="71"/>
      <c r="AN691" s="71"/>
      <c r="AO691" s="71"/>
      <c r="AP691" s="71"/>
      <c r="AQ691" s="71"/>
      <c r="AR691" s="71"/>
    </row>
    <row r="692" ht="15.75" customHeight="1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  <c r="AA692" s="71"/>
      <c r="AB692" s="71"/>
      <c r="AC692" s="71"/>
      <c r="AD692" s="71"/>
      <c r="AE692" s="71"/>
      <c r="AF692" s="71"/>
      <c r="AG692" s="71"/>
      <c r="AH692" s="71"/>
      <c r="AI692" s="71"/>
      <c r="AJ692" s="71"/>
      <c r="AK692" s="71"/>
      <c r="AL692" s="71"/>
      <c r="AM692" s="71"/>
      <c r="AN692" s="71"/>
      <c r="AO692" s="71"/>
      <c r="AP692" s="71"/>
      <c r="AQ692" s="71"/>
      <c r="AR692" s="71"/>
    </row>
    <row r="693" ht="15.75" customHeight="1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  <c r="AA693" s="71"/>
      <c r="AB693" s="71"/>
      <c r="AC693" s="71"/>
      <c r="AD693" s="71"/>
      <c r="AE693" s="71"/>
      <c r="AF693" s="71"/>
      <c r="AG693" s="71"/>
      <c r="AH693" s="71"/>
      <c r="AI693" s="71"/>
      <c r="AJ693" s="71"/>
      <c r="AK693" s="71"/>
      <c r="AL693" s="71"/>
      <c r="AM693" s="71"/>
      <c r="AN693" s="71"/>
      <c r="AO693" s="71"/>
      <c r="AP693" s="71"/>
      <c r="AQ693" s="71"/>
      <c r="AR693" s="71"/>
    </row>
    <row r="694" ht="15.75" customHeight="1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  <c r="AA694" s="71"/>
      <c r="AB694" s="71"/>
      <c r="AC694" s="71"/>
      <c r="AD694" s="71"/>
      <c r="AE694" s="71"/>
      <c r="AF694" s="71"/>
      <c r="AG694" s="71"/>
      <c r="AH694" s="71"/>
      <c r="AI694" s="71"/>
      <c r="AJ694" s="71"/>
      <c r="AK694" s="71"/>
      <c r="AL694" s="71"/>
      <c r="AM694" s="71"/>
      <c r="AN694" s="71"/>
      <c r="AO694" s="71"/>
      <c r="AP694" s="71"/>
      <c r="AQ694" s="71"/>
      <c r="AR694" s="71"/>
    </row>
    <row r="695" ht="15.75" customHeight="1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  <c r="AA695" s="71"/>
      <c r="AB695" s="71"/>
      <c r="AC695" s="71"/>
      <c r="AD695" s="71"/>
      <c r="AE695" s="71"/>
      <c r="AF695" s="71"/>
      <c r="AG695" s="71"/>
      <c r="AH695" s="71"/>
      <c r="AI695" s="71"/>
      <c r="AJ695" s="71"/>
      <c r="AK695" s="71"/>
      <c r="AL695" s="71"/>
      <c r="AM695" s="71"/>
      <c r="AN695" s="71"/>
      <c r="AO695" s="71"/>
      <c r="AP695" s="71"/>
      <c r="AQ695" s="71"/>
      <c r="AR695" s="71"/>
    </row>
    <row r="696" ht="15.75" customHeight="1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  <c r="AA696" s="71"/>
      <c r="AB696" s="71"/>
      <c r="AC696" s="71"/>
      <c r="AD696" s="71"/>
      <c r="AE696" s="71"/>
      <c r="AF696" s="71"/>
      <c r="AG696" s="71"/>
      <c r="AH696" s="71"/>
      <c r="AI696" s="71"/>
      <c r="AJ696" s="71"/>
      <c r="AK696" s="71"/>
      <c r="AL696" s="71"/>
      <c r="AM696" s="71"/>
      <c r="AN696" s="71"/>
      <c r="AO696" s="71"/>
      <c r="AP696" s="71"/>
      <c r="AQ696" s="71"/>
      <c r="AR696" s="71"/>
    </row>
    <row r="697" ht="15.75" customHeight="1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  <c r="AA697" s="71"/>
      <c r="AB697" s="71"/>
      <c r="AC697" s="71"/>
      <c r="AD697" s="71"/>
      <c r="AE697" s="71"/>
      <c r="AF697" s="71"/>
      <c r="AG697" s="71"/>
      <c r="AH697" s="71"/>
      <c r="AI697" s="71"/>
      <c r="AJ697" s="71"/>
      <c r="AK697" s="71"/>
      <c r="AL697" s="71"/>
      <c r="AM697" s="71"/>
      <c r="AN697" s="71"/>
      <c r="AO697" s="71"/>
      <c r="AP697" s="71"/>
      <c r="AQ697" s="71"/>
      <c r="AR697" s="71"/>
    </row>
    <row r="698" ht="15.75" customHeight="1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  <c r="AA698" s="71"/>
      <c r="AB698" s="71"/>
      <c r="AC698" s="71"/>
      <c r="AD698" s="71"/>
      <c r="AE698" s="71"/>
      <c r="AF698" s="71"/>
      <c r="AG698" s="71"/>
      <c r="AH698" s="71"/>
      <c r="AI698" s="71"/>
      <c r="AJ698" s="71"/>
      <c r="AK698" s="71"/>
      <c r="AL698" s="71"/>
      <c r="AM698" s="71"/>
      <c r="AN698" s="71"/>
      <c r="AO698" s="71"/>
      <c r="AP698" s="71"/>
      <c r="AQ698" s="71"/>
      <c r="AR698" s="71"/>
    </row>
    <row r="699" ht="15.75" customHeight="1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  <c r="AA699" s="71"/>
      <c r="AB699" s="71"/>
      <c r="AC699" s="71"/>
      <c r="AD699" s="71"/>
      <c r="AE699" s="71"/>
      <c r="AF699" s="71"/>
      <c r="AG699" s="71"/>
      <c r="AH699" s="71"/>
      <c r="AI699" s="71"/>
      <c r="AJ699" s="71"/>
      <c r="AK699" s="71"/>
      <c r="AL699" s="71"/>
      <c r="AM699" s="71"/>
      <c r="AN699" s="71"/>
      <c r="AO699" s="71"/>
      <c r="AP699" s="71"/>
      <c r="AQ699" s="71"/>
      <c r="AR699" s="71"/>
    </row>
    <row r="700" ht="15.75" customHeight="1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  <c r="AA700" s="71"/>
      <c r="AB700" s="71"/>
      <c r="AC700" s="71"/>
      <c r="AD700" s="71"/>
      <c r="AE700" s="71"/>
      <c r="AF700" s="71"/>
      <c r="AG700" s="71"/>
      <c r="AH700" s="71"/>
      <c r="AI700" s="71"/>
      <c r="AJ700" s="71"/>
      <c r="AK700" s="71"/>
      <c r="AL700" s="71"/>
      <c r="AM700" s="71"/>
      <c r="AN700" s="71"/>
      <c r="AO700" s="71"/>
      <c r="AP700" s="71"/>
      <c r="AQ700" s="71"/>
      <c r="AR700" s="71"/>
    </row>
    <row r="701" ht="15.75" customHeight="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  <c r="AA701" s="71"/>
      <c r="AB701" s="71"/>
      <c r="AC701" s="71"/>
      <c r="AD701" s="71"/>
      <c r="AE701" s="71"/>
      <c r="AF701" s="71"/>
      <c r="AG701" s="71"/>
      <c r="AH701" s="71"/>
      <c r="AI701" s="71"/>
      <c r="AJ701" s="71"/>
      <c r="AK701" s="71"/>
      <c r="AL701" s="71"/>
      <c r="AM701" s="71"/>
      <c r="AN701" s="71"/>
      <c r="AO701" s="71"/>
      <c r="AP701" s="71"/>
      <c r="AQ701" s="71"/>
      <c r="AR701" s="71"/>
    </row>
    <row r="702" ht="15.75" customHeight="1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  <c r="AA702" s="71"/>
      <c r="AB702" s="71"/>
      <c r="AC702" s="71"/>
      <c r="AD702" s="71"/>
      <c r="AE702" s="71"/>
      <c r="AF702" s="71"/>
      <c r="AG702" s="71"/>
      <c r="AH702" s="71"/>
      <c r="AI702" s="71"/>
      <c r="AJ702" s="71"/>
      <c r="AK702" s="71"/>
      <c r="AL702" s="71"/>
      <c r="AM702" s="71"/>
      <c r="AN702" s="71"/>
      <c r="AO702" s="71"/>
      <c r="AP702" s="71"/>
      <c r="AQ702" s="71"/>
      <c r="AR702" s="71"/>
    </row>
    <row r="703" ht="15.75" customHeight="1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  <c r="AA703" s="71"/>
      <c r="AB703" s="71"/>
      <c r="AC703" s="71"/>
      <c r="AD703" s="71"/>
      <c r="AE703" s="71"/>
      <c r="AF703" s="71"/>
      <c r="AG703" s="71"/>
      <c r="AH703" s="71"/>
      <c r="AI703" s="71"/>
      <c r="AJ703" s="71"/>
      <c r="AK703" s="71"/>
      <c r="AL703" s="71"/>
      <c r="AM703" s="71"/>
      <c r="AN703" s="71"/>
      <c r="AO703" s="71"/>
      <c r="AP703" s="71"/>
      <c r="AQ703" s="71"/>
      <c r="AR703" s="71"/>
    </row>
    <row r="704" ht="15.75" customHeight="1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  <c r="AA704" s="71"/>
      <c r="AB704" s="71"/>
      <c r="AC704" s="71"/>
      <c r="AD704" s="71"/>
      <c r="AE704" s="71"/>
      <c r="AF704" s="71"/>
      <c r="AG704" s="71"/>
      <c r="AH704" s="71"/>
      <c r="AI704" s="71"/>
      <c r="AJ704" s="71"/>
      <c r="AK704" s="71"/>
      <c r="AL704" s="71"/>
      <c r="AM704" s="71"/>
      <c r="AN704" s="71"/>
      <c r="AO704" s="71"/>
      <c r="AP704" s="71"/>
      <c r="AQ704" s="71"/>
      <c r="AR704" s="71"/>
    </row>
    <row r="705" ht="15.75" customHeight="1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  <c r="AA705" s="71"/>
      <c r="AB705" s="71"/>
      <c r="AC705" s="71"/>
      <c r="AD705" s="71"/>
      <c r="AE705" s="71"/>
      <c r="AF705" s="71"/>
      <c r="AG705" s="71"/>
      <c r="AH705" s="71"/>
      <c r="AI705" s="71"/>
      <c r="AJ705" s="71"/>
      <c r="AK705" s="71"/>
      <c r="AL705" s="71"/>
      <c r="AM705" s="71"/>
      <c r="AN705" s="71"/>
      <c r="AO705" s="71"/>
      <c r="AP705" s="71"/>
      <c r="AQ705" s="71"/>
      <c r="AR705" s="71"/>
    </row>
    <row r="706" ht="15.75" customHeight="1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  <c r="AA706" s="71"/>
      <c r="AB706" s="71"/>
      <c r="AC706" s="71"/>
      <c r="AD706" s="71"/>
      <c r="AE706" s="71"/>
      <c r="AF706" s="71"/>
      <c r="AG706" s="71"/>
      <c r="AH706" s="71"/>
      <c r="AI706" s="71"/>
      <c r="AJ706" s="71"/>
      <c r="AK706" s="71"/>
      <c r="AL706" s="71"/>
      <c r="AM706" s="71"/>
      <c r="AN706" s="71"/>
      <c r="AO706" s="71"/>
      <c r="AP706" s="71"/>
      <c r="AQ706" s="71"/>
      <c r="AR706" s="71"/>
    </row>
    <row r="707" ht="15.75" customHeight="1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  <c r="AA707" s="71"/>
      <c r="AB707" s="71"/>
      <c r="AC707" s="71"/>
      <c r="AD707" s="71"/>
      <c r="AE707" s="71"/>
      <c r="AF707" s="71"/>
      <c r="AG707" s="71"/>
      <c r="AH707" s="71"/>
      <c r="AI707" s="71"/>
      <c r="AJ707" s="71"/>
      <c r="AK707" s="71"/>
      <c r="AL707" s="71"/>
      <c r="AM707" s="71"/>
      <c r="AN707" s="71"/>
      <c r="AO707" s="71"/>
      <c r="AP707" s="71"/>
      <c r="AQ707" s="71"/>
      <c r="AR707" s="71"/>
    </row>
    <row r="708" ht="15.75" customHeight="1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  <c r="AA708" s="71"/>
      <c r="AB708" s="71"/>
      <c r="AC708" s="71"/>
      <c r="AD708" s="71"/>
      <c r="AE708" s="71"/>
      <c r="AF708" s="71"/>
      <c r="AG708" s="71"/>
      <c r="AH708" s="71"/>
      <c r="AI708" s="71"/>
      <c r="AJ708" s="71"/>
      <c r="AK708" s="71"/>
      <c r="AL708" s="71"/>
      <c r="AM708" s="71"/>
      <c r="AN708" s="71"/>
      <c r="AO708" s="71"/>
      <c r="AP708" s="71"/>
      <c r="AQ708" s="71"/>
      <c r="AR708" s="71"/>
    </row>
    <row r="709" ht="15.75" customHeight="1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  <c r="AA709" s="71"/>
      <c r="AB709" s="71"/>
      <c r="AC709" s="71"/>
      <c r="AD709" s="71"/>
      <c r="AE709" s="71"/>
      <c r="AF709" s="71"/>
      <c r="AG709" s="71"/>
      <c r="AH709" s="71"/>
      <c r="AI709" s="71"/>
      <c r="AJ709" s="71"/>
      <c r="AK709" s="71"/>
      <c r="AL709" s="71"/>
      <c r="AM709" s="71"/>
      <c r="AN709" s="71"/>
      <c r="AO709" s="71"/>
      <c r="AP709" s="71"/>
      <c r="AQ709" s="71"/>
      <c r="AR709" s="71"/>
    </row>
    <row r="710" ht="15.75" customHeight="1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  <c r="AA710" s="71"/>
      <c r="AB710" s="71"/>
      <c r="AC710" s="71"/>
      <c r="AD710" s="71"/>
      <c r="AE710" s="71"/>
      <c r="AF710" s="71"/>
      <c r="AG710" s="71"/>
      <c r="AH710" s="71"/>
      <c r="AI710" s="71"/>
      <c r="AJ710" s="71"/>
      <c r="AK710" s="71"/>
      <c r="AL710" s="71"/>
      <c r="AM710" s="71"/>
      <c r="AN710" s="71"/>
      <c r="AO710" s="71"/>
      <c r="AP710" s="71"/>
      <c r="AQ710" s="71"/>
      <c r="AR710" s="71"/>
    </row>
    <row r="711" ht="15.75" customHeight="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  <c r="AA711" s="71"/>
      <c r="AB711" s="71"/>
      <c r="AC711" s="71"/>
      <c r="AD711" s="71"/>
      <c r="AE711" s="71"/>
      <c r="AF711" s="71"/>
      <c r="AG711" s="71"/>
      <c r="AH711" s="71"/>
      <c r="AI711" s="71"/>
      <c r="AJ711" s="71"/>
      <c r="AK711" s="71"/>
      <c r="AL711" s="71"/>
      <c r="AM711" s="71"/>
      <c r="AN711" s="71"/>
      <c r="AO711" s="71"/>
      <c r="AP711" s="71"/>
      <c r="AQ711" s="71"/>
      <c r="AR711" s="71"/>
    </row>
    <row r="712" ht="15.75" customHeight="1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  <c r="AA712" s="71"/>
      <c r="AB712" s="71"/>
      <c r="AC712" s="71"/>
      <c r="AD712" s="71"/>
      <c r="AE712" s="71"/>
      <c r="AF712" s="71"/>
      <c r="AG712" s="71"/>
      <c r="AH712" s="71"/>
      <c r="AI712" s="71"/>
      <c r="AJ712" s="71"/>
      <c r="AK712" s="71"/>
      <c r="AL712" s="71"/>
      <c r="AM712" s="71"/>
      <c r="AN712" s="71"/>
      <c r="AO712" s="71"/>
      <c r="AP712" s="71"/>
      <c r="AQ712" s="71"/>
      <c r="AR712" s="71"/>
    </row>
    <row r="713" ht="15.75" customHeight="1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  <c r="AA713" s="71"/>
      <c r="AB713" s="71"/>
      <c r="AC713" s="71"/>
      <c r="AD713" s="71"/>
      <c r="AE713" s="71"/>
      <c r="AF713" s="71"/>
      <c r="AG713" s="71"/>
      <c r="AH713" s="71"/>
      <c r="AI713" s="71"/>
      <c r="AJ713" s="71"/>
      <c r="AK713" s="71"/>
      <c r="AL713" s="71"/>
      <c r="AM713" s="71"/>
      <c r="AN713" s="71"/>
      <c r="AO713" s="71"/>
      <c r="AP713" s="71"/>
      <c r="AQ713" s="71"/>
      <c r="AR713" s="71"/>
    </row>
    <row r="714" ht="15.75" customHeight="1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  <c r="AA714" s="71"/>
      <c r="AB714" s="71"/>
      <c r="AC714" s="71"/>
      <c r="AD714" s="71"/>
      <c r="AE714" s="71"/>
      <c r="AF714" s="71"/>
      <c r="AG714" s="71"/>
      <c r="AH714" s="71"/>
      <c r="AI714" s="71"/>
      <c r="AJ714" s="71"/>
      <c r="AK714" s="71"/>
      <c r="AL714" s="71"/>
      <c r="AM714" s="71"/>
      <c r="AN714" s="71"/>
      <c r="AO714" s="71"/>
      <c r="AP714" s="71"/>
      <c r="AQ714" s="71"/>
      <c r="AR714" s="71"/>
    </row>
    <row r="715" ht="15.75" customHeight="1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  <c r="AA715" s="71"/>
      <c r="AB715" s="71"/>
      <c r="AC715" s="71"/>
      <c r="AD715" s="71"/>
      <c r="AE715" s="71"/>
      <c r="AF715" s="71"/>
      <c r="AG715" s="71"/>
      <c r="AH715" s="71"/>
      <c r="AI715" s="71"/>
      <c r="AJ715" s="71"/>
      <c r="AK715" s="71"/>
      <c r="AL715" s="71"/>
      <c r="AM715" s="71"/>
      <c r="AN715" s="71"/>
      <c r="AO715" s="71"/>
      <c r="AP715" s="71"/>
      <c r="AQ715" s="71"/>
      <c r="AR715" s="71"/>
    </row>
    <row r="716" ht="15.75" customHeight="1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  <c r="AA716" s="71"/>
      <c r="AB716" s="71"/>
      <c r="AC716" s="71"/>
      <c r="AD716" s="71"/>
      <c r="AE716" s="71"/>
      <c r="AF716" s="71"/>
      <c r="AG716" s="71"/>
      <c r="AH716" s="71"/>
      <c r="AI716" s="71"/>
      <c r="AJ716" s="71"/>
      <c r="AK716" s="71"/>
      <c r="AL716" s="71"/>
      <c r="AM716" s="71"/>
      <c r="AN716" s="71"/>
      <c r="AO716" s="71"/>
      <c r="AP716" s="71"/>
      <c r="AQ716" s="71"/>
      <c r="AR716" s="71"/>
    </row>
    <row r="717" ht="15.75" customHeight="1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  <c r="AA717" s="71"/>
      <c r="AB717" s="71"/>
      <c r="AC717" s="71"/>
      <c r="AD717" s="71"/>
      <c r="AE717" s="71"/>
      <c r="AF717" s="71"/>
      <c r="AG717" s="71"/>
      <c r="AH717" s="71"/>
      <c r="AI717" s="71"/>
      <c r="AJ717" s="71"/>
      <c r="AK717" s="71"/>
      <c r="AL717" s="71"/>
      <c r="AM717" s="71"/>
      <c r="AN717" s="71"/>
      <c r="AO717" s="71"/>
      <c r="AP717" s="71"/>
      <c r="AQ717" s="71"/>
      <c r="AR717" s="71"/>
    </row>
    <row r="718" ht="15.75" customHeight="1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  <c r="AA718" s="71"/>
      <c r="AB718" s="71"/>
      <c r="AC718" s="71"/>
      <c r="AD718" s="71"/>
      <c r="AE718" s="71"/>
      <c r="AF718" s="71"/>
      <c r="AG718" s="71"/>
      <c r="AH718" s="71"/>
      <c r="AI718" s="71"/>
      <c r="AJ718" s="71"/>
      <c r="AK718" s="71"/>
      <c r="AL718" s="71"/>
      <c r="AM718" s="71"/>
      <c r="AN718" s="71"/>
      <c r="AO718" s="71"/>
      <c r="AP718" s="71"/>
      <c r="AQ718" s="71"/>
      <c r="AR718" s="71"/>
    </row>
    <row r="719" ht="15.75" customHeight="1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  <c r="AA719" s="71"/>
      <c r="AB719" s="71"/>
      <c r="AC719" s="71"/>
      <c r="AD719" s="71"/>
      <c r="AE719" s="71"/>
      <c r="AF719" s="71"/>
      <c r="AG719" s="71"/>
      <c r="AH719" s="71"/>
      <c r="AI719" s="71"/>
      <c r="AJ719" s="71"/>
      <c r="AK719" s="71"/>
      <c r="AL719" s="71"/>
      <c r="AM719" s="71"/>
      <c r="AN719" s="71"/>
      <c r="AO719" s="71"/>
      <c r="AP719" s="71"/>
      <c r="AQ719" s="71"/>
      <c r="AR719" s="71"/>
    </row>
    <row r="720" ht="15.75" customHeight="1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  <c r="AA720" s="71"/>
      <c r="AB720" s="71"/>
      <c r="AC720" s="71"/>
      <c r="AD720" s="71"/>
      <c r="AE720" s="71"/>
      <c r="AF720" s="71"/>
      <c r="AG720" s="71"/>
      <c r="AH720" s="71"/>
      <c r="AI720" s="71"/>
      <c r="AJ720" s="71"/>
      <c r="AK720" s="71"/>
      <c r="AL720" s="71"/>
      <c r="AM720" s="71"/>
      <c r="AN720" s="71"/>
      <c r="AO720" s="71"/>
      <c r="AP720" s="71"/>
      <c r="AQ720" s="71"/>
      <c r="AR720" s="71"/>
    </row>
    <row r="721" ht="15.75" customHeight="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  <c r="AA721" s="71"/>
      <c r="AB721" s="71"/>
      <c r="AC721" s="71"/>
      <c r="AD721" s="71"/>
      <c r="AE721" s="71"/>
      <c r="AF721" s="71"/>
      <c r="AG721" s="71"/>
      <c r="AH721" s="71"/>
      <c r="AI721" s="71"/>
      <c r="AJ721" s="71"/>
      <c r="AK721" s="71"/>
      <c r="AL721" s="71"/>
      <c r="AM721" s="71"/>
      <c r="AN721" s="71"/>
      <c r="AO721" s="71"/>
      <c r="AP721" s="71"/>
      <c r="AQ721" s="71"/>
      <c r="AR721" s="71"/>
    </row>
    <row r="722" ht="15.75" customHeight="1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  <c r="AA722" s="71"/>
      <c r="AB722" s="71"/>
      <c r="AC722" s="71"/>
      <c r="AD722" s="71"/>
      <c r="AE722" s="71"/>
      <c r="AF722" s="71"/>
      <c r="AG722" s="71"/>
      <c r="AH722" s="71"/>
      <c r="AI722" s="71"/>
      <c r="AJ722" s="71"/>
      <c r="AK722" s="71"/>
      <c r="AL722" s="71"/>
      <c r="AM722" s="71"/>
      <c r="AN722" s="71"/>
      <c r="AO722" s="71"/>
      <c r="AP722" s="71"/>
      <c r="AQ722" s="71"/>
      <c r="AR722" s="71"/>
    </row>
    <row r="723" ht="15.75" customHeight="1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  <c r="AA723" s="71"/>
      <c r="AB723" s="71"/>
      <c r="AC723" s="71"/>
      <c r="AD723" s="71"/>
      <c r="AE723" s="71"/>
      <c r="AF723" s="71"/>
      <c r="AG723" s="71"/>
      <c r="AH723" s="71"/>
      <c r="AI723" s="71"/>
      <c r="AJ723" s="71"/>
      <c r="AK723" s="71"/>
      <c r="AL723" s="71"/>
      <c r="AM723" s="71"/>
      <c r="AN723" s="71"/>
      <c r="AO723" s="71"/>
      <c r="AP723" s="71"/>
      <c r="AQ723" s="71"/>
      <c r="AR723" s="71"/>
    </row>
    <row r="724" ht="15.75" customHeight="1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  <c r="AA724" s="71"/>
      <c r="AB724" s="71"/>
      <c r="AC724" s="71"/>
      <c r="AD724" s="71"/>
      <c r="AE724" s="71"/>
      <c r="AF724" s="71"/>
      <c r="AG724" s="71"/>
      <c r="AH724" s="71"/>
      <c r="AI724" s="71"/>
      <c r="AJ724" s="71"/>
      <c r="AK724" s="71"/>
      <c r="AL724" s="71"/>
      <c r="AM724" s="71"/>
      <c r="AN724" s="71"/>
      <c r="AO724" s="71"/>
      <c r="AP724" s="71"/>
      <c r="AQ724" s="71"/>
      <c r="AR724" s="71"/>
    </row>
    <row r="725" ht="15.75" customHeight="1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  <c r="AA725" s="71"/>
      <c r="AB725" s="71"/>
      <c r="AC725" s="71"/>
      <c r="AD725" s="71"/>
      <c r="AE725" s="71"/>
      <c r="AF725" s="71"/>
      <c r="AG725" s="71"/>
      <c r="AH725" s="71"/>
      <c r="AI725" s="71"/>
      <c r="AJ725" s="71"/>
      <c r="AK725" s="71"/>
      <c r="AL725" s="71"/>
      <c r="AM725" s="71"/>
      <c r="AN725" s="71"/>
      <c r="AO725" s="71"/>
      <c r="AP725" s="71"/>
      <c r="AQ725" s="71"/>
      <c r="AR725" s="71"/>
    </row>
    <row r="726" ht="15.75" customHeight="1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  <c r="AA726" s="71"/>
      <c r="AB726" s="71"/>
      <c r="AC726" s="71"/>
      <c r="AD726" s="71"/>
      <c r="AE726" s="71"/>
      <c r="AF726" s="71"/>
      <c r="AG726" s="71"/>
      <c r="AH726" s="71"/>
      <c r="AI726" s="71"/>
      <c r="AJ726" s="71"/>
      <c r="AK726" s="71"/>
      <c r="AL726" s="71"/>
      <c r="AM726" s="71"/>
      <c r="AN726" s="71"/>
      <c r="AO726" s="71"/>
      <c r="AP726" s="71"/>
      <c r="AQ726" s="71"/>
      <c r="AR726" s="71"/>
    </row>
    <row r="727" ht="15.75" customHeight="1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  <c r="AA727" s="71"/>
      <c r="AB727" s="71"/>
      <c r="AC727" s="71"/>
      <c r="AD727" s="71"/>
      <c r="AE727" s="71"/>
      <c r="AF727" s="71"/>
      <c r="AG727" s="71"/>
      <c r="AH727" s="71"/>
      <c r="AI727" s="71"/>
      <c r="AJ727" s="71"/>
      <c r="AK727" s="71"/>
      <c r="AL727" s="71"/>
      <c r="AM727" s="71"/>
      <c r="AN727" s="71"/>
      <c r="AO727" s="71"/>
      <c r="AP727" s="71"/>
      <c r="AQ727" s="71"/>
      <c r="AR727" s="71"/>
    </row>
    <row r="728" ht="15.75" customHeight="1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  <c r="AA728" s="71"/>
      <c r="AB728" s="71"/>
      <c r="AC728" s="71"/>
      <c r="AD728" s="71"/>
      <c r="AE728" s="71"/>
      <c r="AF728" s="71"/>
      <c r="AG728" s="71"/>
      <c r="AH728" s="71"/>
      <c r="AI728" s="71"/>
      <c r="AJ728" s="71"/>
      <c r="AK728" s="71"/>
      <c r="AL728" s="71"/>
      <c r="AM728" s="71"/>
      <c r="AN728" s="71"/>
      <c r="AO728" s="71"/>
      <c r="AP728" s="71"/>
      <c r="AQ728" s="71"/>
      <c r="AR728" s="71"/>
    </row>
    <row r="729" ht="15.75" customHeight="1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  <c r="AA729" s="71"/>
      <c r="AB729" s="71"/>
      <c r="AC729" s="71"/>
      <c r="AD729" s="71"/>
      <c r="AE729" s="71"/>
      <c r="AF729" s="71"/>
      <c r="AG729" s="71"/>
      <c r="AH729" s="71"/>
      <c r="AI729" s="71"/>
      <c r="AJ729" s="71"/>
      <c r="AK729" s="71"/>
      <c r="AL729" s="71"/>
      <c r="AM729" s="71"/>
      <c r="AN729" s="71"/>
      <c r="AO729" s="71"/>
      <c r="AP729" s="71"/>
      <c r="AQ729" s="71"/>
      <c r="AR729" s="71"/>
    </row>
    <row r="730" ht="15.75" customHeight="1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  <c r="AA730" s="71"/>
      <c r="AB730" s="71"/>
      <c r="AC730" s="71"/>
      <c r="AD730" s="71"/>
      <c r="AE730" s="71"/>
      <c r="AF730" s="71"/>
      <c r="AG730" s="71"/>
      <c r="AH730" s="71"/>
      <c r="AI730" s="71"/>
      <c r="AJ730" s="71"/>
      <c r="AK730" s="71"/>
      <c r="AL730" s="71"/>
      <c r="AM730" s="71"/>
      <c r="AN730" s="71"/>
      <c r="AO730" s="71"/>
      <c r="AP730" s="71"/>
      <c r="AQ730" s="71"/>
      <c r="AR730" s="71"/>
    </row>
    <row r="731" ht="15.75" customHeight="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  <c r="AA731" s="71"/>
      <c r="AB731" s="71"/>
      <c r="AC731" s="71"/>
      <c r="AD731" s="71"/>
      <c r="AE731" s="71"/>
      <c r="AF731" s="71"/>
      <c r="AG731" s="71"/>
      <c r="AH731" s="71"/>
      <c r="AI731" s="71"/>
      <c r="AJ731" s="71"/>
      <c r="AK731" s="71"/>
      <c r="AL731" s="71"/>
      <c r="AM731" s="71"/>
      <c r="AN731" s="71"/>
      <c r="AO731" s="71"/>
      <c r="AP731" s="71"/>
      <c r="AQ731" s="71"/>
      <c r="AR731" s="71"/>
    </row>
    <row r="732" ht="15.75" customHeight="1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  <c r="AA732" s="71"/>
      <c r="AB732" s="71"/>
      <c r="AC732" s="71"/>
      <c r="AD732" s="71"/>
      <c r="AE732" s="71"/>
      <c r="AF732" s="71"/>
      <c r="AG732" s="71"/>
      <c r="AH732" s="71"/>
      <c r="AI732" s="71"/>
      <c r="AJ732" s="71"/>
      <c r="AK732" s="71"/>
      <c r="AL732" s="71"/>
      <c r="AM732" s="71"/>
      <c r="AN732" s="71"/>
      <c r="AO732" s="71"/>
      <c r="AP732" s="71"/>
      <c r="AQ732" s="71"/>
      <c r="AR732" s="71"/>
    </row>
    <row r="733" ht="15.75" customHeight="1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  <c r="AA733" s="71"/>
      <c r="AB733" s="71"/>
      <c r="AC733" s="71"/>
      <c r="AD733" s="71"/>
      <c r="AE733" s="71"/>
      <c r="AF733" s="71"/>
      <c r="AG733" s="71"/>
      <c r="AH733" s="71"/>
      <c r="AI733" s="71"/>
      <c r="AJ733" s="71"/>
      <c r="AK733" s="71"/>
      <c r="AL733" s="71"/>
      <c r="AM733" s="71"/>
      <c r="AN733" s="71"/>
      <c r="AO733" s="71"/>
      <c r="AP733" s="71"/>
      <c r="AQ733" s="71"/>
      <c r="AR733" s="71"/>
    </row>
    <row r="734" ht="15.75" customHeight="1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  <c r="AA734" s="71"/>
      <c r="AB734" s="71"/>
      <c r="AC734" s="71"/>
      <c r="AD734" s="71"/>
      <c r="AE734" s="71"/>
      <c r="AF734" s="71"/>
      <c r="AG734" s="71"/>
      <c r="AH734" s="71"/>
      <c r="AI734" s="71"/>
      <c r="AJ734" s="71"/>
      <c r="AK734" s="71"/>
      <c r="AL734" s="71"/>
      <c r="AM734" s="71"/>
      <c r="AN734" s="71"/>
      <c r="AO734" s="71"/>
      <c r="AP734" s="71"/>
      <c r="AQ734" s="71"/>
      <c r="AR734" s="71"/>
    </row>
    <row r="735" ht="15.75" customHeight="1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  <c r="AA735" s="71"/>
      <c r="AB735" s="71"/>
      <c r="AC735" s="71"/>
      <c r="AD735" s="71"/>
      <c r="AE735" s="71"/>
      <c r="AF735" s="71"/>
      <c r="AG735" s="71"/>
      <c r="AH735" s="71"/>
      <c r="AI735" s="71"/>
      <c r="AJ735" s="71"/>
      <c r="AK735" s="71"/>
      <c r="AL735" s="71"/>
      <c r="AM735" s="71"/>
      <c r="AN735" s="71"/>
      <c r="AO735" s="71"/>
      <c r="AP735" s="71"/>
      <c r="AQ735" s="71"/>
      <c r="AR735" s="71"/>
    </row>
    <row r="736" ht="15.75" customHeight="1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  <c r="AA736" s="71"/>
      <c r="AB736" s="71"/>
      <c r="AC736" s="71"/>
      <c r="AD736" s="71"/>
      <c r="AE736" s="71"/>
      <c r="AF736" s="71"/>
      <c r="AG736" s="71"/>
      <c r="AH736" s="71"/>
      <c r="AI736" s="71"/>
      <c r="AJ736" s="71"/>
      <c r="AK736" s="71"/>
      <c r="AL736" s="71"/>
      <c r="AM736" s="71"/>
      <c r="AN736" s="71"/>
      <c r="AO736" s="71"/>
      <c r="AP736" s="71"/>
      <c r="AQ736" s="71"/>
      <c r="AR736" s="71"/>
    </row>
    <row r="737" ht="15.75" customHeight="1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  <c r="AA737" s="71"/>
      <c r="AB737" s="71"/>
      <c r="AC737" s="71"/>
      <c r="AD737" s="71"/>
      <c r="AE737" s="71"/>
      <c r="AF737" s="71"/>
      <c r="AG737" s="71"/>
      <c r="AH737" s="71"/>
      <c r="AI737" s="71"/>
      <c r="AJ737" s="71"/>
      <c r="AK737" s="71"/>
      <c r="AL737" s="71"/>
      <c r="AM737" s="71"/>
      <c r="AN737" s="71"/>
      <c r="AO737" s="71"/>
      <c r="AP737" s="71"/>
      <c r="AQ737" s="71"/>
      <c r="AR737" s="71"/>
    </row>
    <row r="738" ht="15.75" customHeight="1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  <c r="AA738" s="71"/>
      <c r="AB738" s="71"/>
      <c r="AC738" s="71"/>
      <c r="AD738" s="71"/>
      <c r="AE738" s="71"/>
      <c r="AF738" s="71"/>
      <c r="AG738" s="71"/>
      <c r="AH738" s="71"/>
      <c r="AI738" s="71"/>
      <c r="AJ738" s="71"/>
      <c r="AK738" s="71"/>
      <c r="AL738" s="71"/>
      <c r="AM738" s="71"/>
      <c r="AN738" s="71"/>
      <c r="AO738" s="71"/>
      <c r="AP738" s="71"/>
      <c r="AQ738" s="71"/>
      <c r="AR738" s="71"/>
    </row>
    <row r="739" ht="15.75" customHeight="1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  <c r="AA739" s="71"/>
      <c r="AB739" s="71"/>
      <c r="AC739" s="71"/>
      <c r="AD739" s="71"/>
      <c r="AE739" s="71"/>
      <c r="AF739" s="71"/>
      <c r="AG739" s="71"/>
      <c r="AH739" s="71"/>
      <c r="AI739" s="71"/>
      <c r="AJ739" s="71"/>
      <c r="AK739" s="71"/>
      <c r="AL739" s="71"/>
      <c r="AM739" s="71"/>
      <c r="AN739" s="71"/>
      <c r="AO739" s="71"/>
      <c r="AP739" s="71"/>
      <c r="AQ739" s="71"/>
      <c r="AR739" s="71"/>
    </row>
    <row r="740" ht="15.75" customHeight="1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  <c r="AA740" s="71"/>
      <c r="AB740" s="71"/>
      <c r="AC740" s="71"/>
      <c r="AD740" s="71"/>
      <c r="AE740" s="71"/>
      <c r="AF740" s="71"/>
      <c r="AG740" s="71"/>
      <c r="AH740" s="71"/>
      <c r="AI740" s="71"/>
      <c r="AJ740" s="71"/>
      <c r="AK740" s="71"/>
      <c r="AL740" s="71"/>
      <c r="AM740" s="71"/>
      <c r="AN740" s="71"/>
      <c r="AO740" s="71"/>
      <c r="AP740" s="71"/>
      <c r="AQ740" s="71"/>
      <c r="AR740" s="71"/>
    </row>
    <row r="741" ht="15.75" customHeight="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  <c r="AA741" s="71"/>
      <c r="AB741" s="71"/>
      <c r="AC741" s="71"/>
      <c r="AD741" s="71"/>
      <c r="AE741" s="71"/>
      <c r="AF741" s="71"/>
      <c r="AG741" s="71"/>
      <c r="AH741" s="71"/>
      <c r="AI741" s="71"/>
      <c r="AJ741" s="71"/>
      <c r="AK741" s="71"/>
      <c r="AL741" s="71"/>
      <c r="AM741" s="71"/>
      <c r="AN741" s="71"/>
      <c r="AO741" s="71"/>
      <c r="AP741" s="71"/>
      <c r="AQ741" s="71"/>
      <c r="AR741" s="71"/>
    </row>
    <row r="742" ht="15.75" customHeight="1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  <c r="AA742" s="71"/>
      <c r="AB742" s="71"/>
      <c r="AC742" s="71"/>
      <c r="AD742" s="71"/>
      <c r="AE742" s="71"/>
      <c r="AF742" s="71"/>
      <c r="AG742" s="71"/>
      <c r="AH742" s="71"/>
      <c r="AI742" s="71"/>
      <c r="AJ742" s="71"/>
      <c r="AK742" s="71"/>
      <c r="AL742" s="71"/>
      <c r="AM742" s="71"/>
      <c r="AN742" s="71"/>
      <c r="AO742" s="71"/>
      <c r="AP742" s="71"/>
      <c r="AQ742" s="71"/>
      <c r="AR742" s="71"/>
    </row>
    <row r="743" ht="15.75" customHeight="1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  <c r="AA743" s="71"/>
      <c r="AB743" s="71"/>
      <c r="AC743" s="71"/>
      <c r="AD743" s="71"/>
      <c r="AE743" s="71"/>
      <c r="AF743" s="71"/>
      <c r="AG743" s="71"/>
      <c r="AH743" s="71"/>
      <c r="AI743" s="71"/>
      <c r="AJ743" s="71"/>
      <c r="AK743" s="71"/>
      <c r="AL743" s="71"/>
      <c r="AM743" s="71"/>
      <c r="AN743" s="71"/>
      <c r="AO743" s="71"/>
      <c r="AP743" s="71"/>
      <c r="AQ743" s="71"/>
      <c r="AR743" s="71"/>
    </row>
    <row r="744" ht="15.75" customHeight="1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  <c r="AA744" s="71"/>
      <c r="AB744" s="71"/>
      <c r="AC744" s="71"/>
      <c r="AD744" s="71"/>
      <c r="AE744" s="71"/>
      <c r="AF744" s="71"/>
      <c r="AG744" s="71"/>
      <c r="AH744" s="71"/>
      <c r="AI744" s="71"/>
      <c r="AJ744" s="71"/>
      <c r="AK744" s="71"/>
      <c r="AL744" s="71"/>
      <c r="AM744" s="71"/>
      <c r="AN744" s="71"/>
      <c r="AO744" s="71"/>
      <c r="AP744" s="71"/>
      <c r="AQ744" s="71"/>
      <c r="AR744" s="71"/>
    </row>
    <row r="745" ht="15.75" customHeight="1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  <c r="AA745" s="71"/>
      <c r="AB745" s="71"/>
      <c r="AC745" s="71"/>
      <c r="AD745" s="71"/>
      <c r="AE745" s="71"/>
      <c r="AF745" s="71"/>
      <c r="AG745" s="71"/>
      <c r="AH745" s="71"/>
      <c r="AI745" s="71"/>
      <c r="AJ745" s="71"/>
      <c r="AK745" s="71"/>
      <c r="AL745" s="71"/>
      <c r="AM745" s="71"/>
      <c r="AN745" s="71"/>
      <c r="AO745" s="71"/>
      <c r="AP745" s="71"/>
      <c r="AQ745" s="71"/>
      <c r="AR745" s="71"/>
    </row>
    <row r="746" ht="15.75" customHeight="1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  <c r="AA746" s="71"/>
      <c r="AB746" s="71"/>
      <c r="AC746" s="71"/>
      <c r="AD746" s="71"/>
      <c r="AE746" s="71"/>
      <c r="AF746" s="71"/>
      <c r="AG746" s="71"/>
      <c r="AH746" s="71"/>
      <c r="AI746" s="71"/>
      <c r="AJ746" s="71"/>
      <c r="AK746" s="71"/>
      <c r="AL746" s="71"/>
      <c r="AM746" s="71"/>
      <c r="AN746" s="71"/>
      <c r="AO746" s="71"/>
      <c r="AP746" s="71"/>
      <c r="AQ746" s="71"/>
      <c r="AR746" s="71"/>
    </row>
    <row r="747" ht="15.75" customHeight="1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  <c r="AA747" s="71"/>
      <c r="AB747" s="71"/>
      <c r="AC747" s="71"/>
      <c r="AD747" s="71"/>
      <c r="AE747" s="71"/>
      <c r="AF747" s="71"/>
      <c r="AG747" s="71"/>
      <c r="AH747" s="71"/>
      <c r="AI747" s="71"/>
      <c r="AJ747" s="71"/>
      <c r="AK747" s="71"/>
      <c r="AL747" s="71"/>
      <c r="AM747" s="71"/>
      <c r="AN747" s="71"/>
      <c r="AO747" s="71"/>
      <c r="AP747" s="71"/>
      <c r="AQ747" s="71"/>
      <c r="AR747" s="71"/>
    </row>
    <row r="748" ht="15.75" customHeight="1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  <c r="AA748" s="71"/>
      <c r="AB748" s="71"/>
      <c r="AC748" s="71"/>
      <c r="AD748" s="71"/>
      <c r="AE748" s="71"/>
      <c r="AF748" s="71"/>
      <c r="AG748" s="71"/>
      <c r="AH748" s="71"/>
      <c r="AI748" s="71"/>
      <c r="AJ748" s="71"/>
      <c r="AK748" s="71"/>
      <c r="AL748" s="71"/>
      <c r="AM748" s="71"/>
      <c r="AN748" s="71"/>
      <c r="AO748" s="71"/>
      <c r="AP748" s="71"/>
      <c r="AQ748" s="71"/>
      <c r="AR748" s="71"/>
    </row>
    <row r="749" ht="15.75" customHeight="1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  <c r="AA749" s="71"/>
      <c r="AB749" s="71"/>
      <c r="AC749" s="71"/>
      <c r="AD749" s="71"/>
      <c r="AE749" s="71"/>
      <c r="AF749" s="71"/>
      <c r="AG749" s="71"/>
      <c r="AH749" s="71"/>
      <c r="AI749" s="71"/>
      <c r="AJ749" s="71"/>
      <c r="AK749" s="71"/>
      <c r="AL749" s="71"/>
      <c r="AM749" s="71"/>
      <c r="AN749" s="71"/>
      <c r="AO749" s="71"/>
      <c r="AP749" s="71"/>
      <c r="AQ749" s="71"/>
      <c r="AR749" s="71"/>
    </row>
    <row r="750" ht="15.75" customHeight="1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  <c r="AA750" s="71"/>
      <c r="AB750" s="71"/>
      <c r="AC750" s="71"/>
      <c r="AD750" s="71"/>
      <c r="AE750" s="71"/>
      <c r="AF750" s="71"/>
      <c r="AG750" s="71"/>
      <c r="AH750" s="71"/>
      <c r="AI750" s="71"/>
      <c r="AJ750" s="71"/>
      <c r="AK750" s="71"/>
      <c r="AL750" s="71"/>
      <c r="AM750" s="71"/>
      <c r="AN750" s="71"/>
      <c r="AO750" s="71"/>
      <c r="AP750" s="71"/>
      <c r="AQ750" s="71"/>
      <c r="AR750" s="71"/>
    </row>
    <row r="751" ht="15.75" customHeight="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  <c r="AA751" s="71"/>
      <c r="AB751" s="71"/>
      <c r="AC751" s="71"/>
      <c r="AD751" s="71"/>
      <c r="AE751" s="71"/>
      <c r="AF751" s="71"/>
      <c r="AG751" s="71"/>
      <c r="AH751" s="71"/>
      <c r="AI751" s="71"/>
      <c r="AJ751" s="71"/>
      <c r="AK751" s="71"/>
      <c r="AL751" s="71"/>
      <c r="AM751" s="71"/>
      <c r="AN751" s="71"/>
      <c r="AO751" s="71"/>
      <c r="AP751" s="71"/>
      <c r="AQ751" s="71"/>
      <c r="AR751" s="71"/>
    </row>
    <row r="752" ht="15.75" customHeight="1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  <c r="AA752" s="71"/>
      <c r="AB752" s="71"/>
      <c r="AC752" s="71"/>
      <c r="AD752" s="71"/>
      <c r="AE752" s="71"/>
      <c r="AF752" s="71"/>
      <c r="AG752" s="71"/>
      <c r="AH752" s="71"/>
      <c r="AI752" s="71"/>
      <c r="AJ752" s="71"/>
      <c r="AK752" s="71"/>
      <c r="AL752" s="71"/>
      <c r="AM752" s="71"/>
      <c r="AN752" s="71"/>
      <c r="AO752" s="71"/>
      <c r="AP752" s="71"/>
      <c r="AQ752" s="71"/>
      <c r="AR752" s="71"/>
    </row>
    <row r="753" ht="15.75" customHeight="1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  <c r="AA753" s="71"/>
      <c r="AB753" s="71"/>
      <c r="AC753" s="71"/>
      <c r="AD753" s="71"/>
      <c r="AE753" s="71"/>
      <c r="AF753" s="71"/>
      <c r="AG753" s="71"/>
      <c r="AH753" s="71"/>
      <c r="AI753" s="71"/>
      <c r="AJ753" s="71"/>
      <c r="AK753" s="71"/>
      <c r="AL753" s="71"/>
      <c r="AM753" s="71"/>
      <c r="AN753" s="71"/>
      <c r="AO753" s="71"/>
      <c r="AP753" s="71"/>
      <c r="AQ753" s="71"/>
      <c r="AR753" s="71"/>
    </row>
    <row r="754" ht="15.75" customHeight="1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  <c r="AA754" s="71"/>
      <c r="AB754" s="71"/>
      <c r="AC754" s="71"/>
      <c r="AD754" s="71"/>
      <c r="AE754" s="71"/>
      <c r="AF754" s="71"/>
      <c r="AG754" s="71"/>
      <c r="AH754" s="71"/>
      <c r="AI754" s="71"/>
      <c r="AJ754" s="71"/>
      <c r="AK754" s="71"/>
      <c r="AL754" s="71"/>
      <c r="AM754" s="71"/>
      <c r="AN754" s="71"/>
      <c r="AO754" s="71"/>
      <c r="AP754" s="71"/>
      <c r="AQ754" s="71"/>
      <c r="AR754" s="71"/>
    </row>
    <row r="755" ht="15.75" customHeight="1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  <c r="AA755" s="71"/>
      <c r="AB755" s="71"/>
      <c r="AC755" s="71"/>
      <c r="AD755" s="71"/>
      <c r="AE755" s="71"/>
      <c r="AF755" s="71"/>
      <c r="AG755" s="71"/>
      <c r="AH755" s="71"/>
      <c r="AI755" s="71"/>
      <c r="AJ755" s="71"/>
      <c r="AK755" s="71"/>
      <c r="AL755" s="71"/>
      <c r="AM755" s="71"/>
      <c r="AN755" s="71"/>
      <c r="AO755" s="71"/>
      <c r="AP755" s="71"/>
      <c r="AQ755" s="71"/>
      <c r="AR755" s="71"/>
    </row>
    <row r="756" ht="15.75" customHeight="1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  <c r="AA756" s="71"/>
      <c r="AB756" s="71"/>
      <c r="AC756" s="71"/>
      <c r="AD756" s="71"/>
      <c r="AE756" s="71"/>
      <c r="AF756" s="71"/>
      <c r="AG756" s="71"/>
      <c r="AH756" s="71"/>
      <c r="AI756" s="71"/>
      <c r="AJ756" s="71"/>
      <c r="AK756" s="71"/>
      <c r="AL756" s="71"/>
      <c r="AM756" s="71"/>
      <c r="AN756" s="71"/>
      <c r="AO756" s="71"/>
      <c r="AP756" s="71"/>
      <c r="AQ756" s="71"/>
      <c r="AR756" s="71"/>
    </row>
    <row r="757" ht="15.75" customHeight="1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  <c r="AA757" s="71"/>
      <c r="AB757" s="71"/>
      <c r="AC757" s="71"/>
      <c r="AD757" s="71"/>
      <c r="AE757" s="71"/>
      <c r="AF757" s="71"/>
      <c r="AG757" s="71"/>
      <c r="AH757" s="71"/>
      <c r="AI757" s="71"/>
      <c r="AJ757" s="71"/>
      <c r="AK757" s="71"/>
      <c r="AL757" s="71"/>
      <c r="AM757" s="71"/>
      <c r="AN757" s="71"/>
      <c r="AO757" s="71"/>
      <c r="AP757" s="71"/>
      <c r="AQ757" s="71"/>
      <c r="AR757" s="71"/>
    </row>
    <row r="758" ht="15.75" customHeight="1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  <c r="AA758" s="71"/>
      <c r="AB758" s="71"/>
      <c r="AC758" s="71"/>
      <c r="AD758" s="71"/>
      <c r="AE758" s="71"/>
      <c r="AF758" s="71"/>
      <c r="AG758" s="71"/>
      <c r="AH758" s="71"/>
      <c r="AI758" s="71"/>
      <c r="AJ758" s="71"/>
      <c r="AK758" s="71"/>
      <c r="AL758" s="71"/>
      <c r="AM758" s="71"/>
      <c r="AN758" s="71"/>
      <c r="AO758" s="71"/>
      <c r="AP758" s="71"/>
      <c r="AQ758" s="71"/>
      <c r="AR758" s="71"/>
    </row>
    <row r="759" ht="15.75" customHeight="1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  <c r="AA759" s="71"/>
      <c r="AB759" s="71"/>
      <c r="AC759" s="71"/>
      <c r="AD759" s="71"/>
      <c r="AE759" s="71"/>
      <c r="AF759" s="71"/>
      <c r="AG759" s="71"/>
      <c r="AH759" s="71"/>
      <c r="AI759" s="71"/>
      <c r="AJ759" s="71"/>
      <c r="AK759" s="71"/>
      <c r="AL759" s="71"/>
      <c r="AM759" s="71"/>
      <c r="AN759" s="71"/>
      <c r="AO759" s="71"/>
      <c r="AP759" s="71"/>
      <c r="AQ759" s="71"/>
      <c r="AR759" s="71"/>
    </row>
    <row r="760" ht="15.75" customHeight="1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  <c r="AA760" s="71"/>
      <c r="AB760" s="71"/>
      <c r="AC760" s="71"/>
      <c r="AD760" s="71"/>
      <c r="AE760" s="71"/>
      <c r="AF760" s="71"/>
      <c r="AG760" s="71"/>
      <c r="AH760" s="71"/>
      <c r="AI760" s="71"/>
      <c r="AJ760" s="71"/>
      <c r="AK760" s="71"/>
      <c r="AL760" s="71"/>
      <c r="AM760" s="71"/>
      <c r="AN760" s="71"/>
      <c r="AO760" s="71"/>
      <c r="AP760" s="71"/>
      <c r="AQ760" s="71"/>
      <c r="AR760" s="71"/>
    </row>
    <row r="761" ht="15.75" customHeight="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  <c r="AA761" s="71"/>
      <c r="AB761" s="71"/>
      <c r="AC761" s="71"/>
      <c r="AD761" s="71"/>
      <c r="AE761" s="71"/>
      <c r="AF761" s="71"/>
      <c r="AG761" s="71"/>
      <c r="AH761" s="71"/>
      <c r="AI761" s="71"/>
      <c r="AJ761" s="71"/>
      <c r="AK761" s="71"/>
      <c r="AL761" s="71"/>
      <c r="AM761" s="71"/>
      <c r="AN761" s="71"/>
      <c r="AO761" s="71"/>
      <c r="AP761" s="71"/>
      <c r="AQ761" s="71"/>
      <c r="AR761" s="71"/>
    </row>
    <row r="762" ht="15.75" customHeight="1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  <c r="AA762" s="71"/>
      <c r="AB762" s="71"/>
      <c r="AC762" s="71"/>
      <c r="AD762" s="71"/>
      <c r="AE762" s="71"/>
      <c r="AF762" s="71"/>
      <c r="AG762" s="71"/>
      <c r="AH762" s="71"/>
      <c r="AI762" s="71"/>
      <c r="AJ762" s="71"/>
      <c r="AK762" s="71"/>
      <c r="AL762" s="71"/>
      <c r="AM762" s="71"/>
      <c r="AN762" s="71"/>
      <c r="AO762" s="71"/>
      <c r="AP762" s="71"/>
      <c r="AQ762" s="71"/>
      <c r="AR762" s="71"/>
    </row>
    <row r="763" ht="15.75" customHeight="1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  <c r="AA763" s="71"/>
      <c r="AB763" s="71"/>
      <c r="AC763" s="71"/>
      <c r="AD763" s="71"/>
      <c r="AE763" s="71"/>
      <c r="AF763" s="71"/>
      <c r="AG763" s="71"/>
      <c r="AH763" s="71"/>
      <c r="AI763" s="71"/>
      <c r="AJ763" s="71"/>
      <c r="AK763" s="71"/>
      <c r="AL763" s="71"/>
      <c r="AM763" s="71"/>
      <c r="AN763" s="71"/>
      <c r="AO763" s="71"/>
      <c r="AP763" s="71"/>
      <c r="AQ763" s="71"/>
      <c r="AR763" s="71"/>
    </row>
    <row r="764" ht="15.75" customHeight="1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  <c r="AA764" s="71"/>
      <c r="AB764" s="71"/>
      <c r="AC764" s="71"/>
      <c r="AD764" s="71"/>
      <c r="AE764" s="71"/>
      <c r="AF764" s="71"/>
      <c r="AG764" s="71"/>
      <c r="AH764" s="71"/>
      <c r="AI764" s="71"/>
      <c r="AJ764" s="71"/>
      <c r="AK764" s="71"/>
      <c r="AL764" s="71"/>
      <c r="AM764" s="71"/>
      <c r="AN764" s="71"/>
      <c r="AO764" s="71"/>
      <c r="AP764" s="71"/>
      <c r="AQ764" s="71"/>
      <c r="AR764" s="71"/>
    </row>
    <row r="765" ht="15.75" customHeight="1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  <c r="AA765" s="71"/>
      <c r="AB765" s="71"/>
      <c r="AC765" s="71"/>
      <c r="AD765" s="71"/>
      <c r="AE765" s="71"/>
      <c r="AF765" s="71"/>
      <c r="AG765" s="71"/>
      <c r="AH765" s="71"/>
      <c r="AI765" s="71"/>
      <c r="AJ765" s="71"/>
      <c r="AK765" s="71"/>
      <c r="AL765" s="71"/>
      <c r="AM765" s="71"/>
      <c r="AN765" s="71"/>
      <c r="AO765" s="71"/>
      <c r="AP765" s="71"/>
      <c r="AQ765" s="71"/>
      <c r="AR765" s="71"/>
    </row>
    <row r="766" ht="15.75" customHeight="1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  <c r="AA766" s="71"/>
      <c r="AB766" s="71"/>
      <c r="AC766" s="71"/>
      <c r="AD766" s="71"/>
      <c r="AE766" s="71"/>
      <c r="AF766" s="71"/>
      <c r="AG766" s="71"/>
      <c r="AH766" s="71"/>
      <c r="AI766" s="71"/>
      <c r="AJ766" s="71"/>
      <c r="AK766" s="71"/>
      <c r="AL766" s="71"/>
      <c r="AM766" s="71"/>
      <c r="AN766" s="71"/>
      <c r="AO766" s="71"/>
      <c r="AP766" s="71"/>
      <c r="AQ766" s="71"/>
      <c r="AR766" s="71"/>
    </row>
    <row r="767" ht="15.75" customHeight="1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  <c r="AA767" s="71"/>
      <c r="AB767" s="71"/>
      <c r="AC767" s="71"/>
      <c r="AD767" s="71"/>
      <c r="AE767" s="71"/>
      <c r="AF767" s="71"/>
      <c r="AG767" s="71"/>
      <c r="AH767" s="71"/>
      <c r="AI767" s="71"/>
      <c r="AJ767" s="71"/>
      <c r="AK767" s="71"/>
      <c r="AL767" s="71"/>
      <c r="AM767" s="71"/>
      <c r="AN767" s="71"/>
      <c r="AO767" s="71"/>
      <c r="AP767" s="71"/>
      <c r="AQ767" s="71"/>
      <c r="AR767" s="71"/>
    </row>
    <row r="768" ht="15.75" customHeight="1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71"/>
      <c r="AG768" s="71"/>
      <c r="AH768" s="71"/>
      <c r="AI768" s="71"/>
      <c r="AJ768" s="71"/>
      <c r="AK768" s="71"/>
      <c r="AL768" s="71"/>
      <c r="AM768" s="71"/>
      <c r="AN768" s="71"/>
      <c r="AO768" s="71"/>
      <c r="AP768" s="71"/>
      <c r="AQ768" s="71"/>
      <c r="AR768" s="71"/>
    </row>
    <row r="769" ht="15.75" customHeight="1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  <c r="AA769" s="71"/>
      <c r="AB769" s="71"/>
      <c r="AC769" s="71"/>
      <c r="AD769" s="71"/>
      <c r="AE769" s="71"/>
      <c r="AF769" s="71"/>
      <c r="AG769" s="71"/>
      <c r="AH769" s="71"/>
      <c r="AI769" s="71"/>
      <c r="AJ769" s="71"/>
      <c r="AK769" s="71"/>
      <c r="AL769" s="71"/>
      <c r="AM769" s="71"/>
      <c r="AN769" s="71"/>
      <c r="AO769" s="71"/>
      <c r="AP769" s="71"/>
      <c r="AQ769" s="71"/>
      <c r="AR769" s="71"/>
    </row>
    <row r="770" ht="15.75" customHeight="1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  <c r="AA770" s="71"/>
      <c r="AB770" s="71"/>
      <c r="AC770" s="71"/>
      <c r="AD770" s="71"/>
      <c r="AE770" s="71"/>
      <c r="AF770" s="71"/>
      <c r="AG770" s="71"/>
      <c r="AH770" s="71"/>
      <c r="AI770" s="71"/>
      <c r="AJ770" s="71"/>
      <c r="AK770" s="71"/>
      <c r="AL770" s="71"/>
      <c r="AM770" s="71"/>
      <c r="AN770" s="71"/>
      <c r="AO770" s="71"/>
      <c r="AP770" s="71"/>
      <c r="AQ770" s="71"/>
      <c r="AR770" s="71"/>
    </row>
    <row r="771" ht="15.75" customHeight="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  <c r="AA771" s="71"/>
      <c r="AB771" s="71"/>
      <c r="AC771" s="71"/>
      <c r="AD771" s="71"/>
      <c r="AE771" s="71"/>
      <c r="AF771" s="71"/>
      <c r="AG771" s="71"/>
      <c r="AH771" s="71"/>
      <c r="AI771" s="71"/>
      <c r="AJ771" s="71"/>
      <c r="AK771" s="71"/>
      <c r="AL771" s="71"/>
      <c r="AM771" s="71"/>
      <c r="AN771" s="71"/>
      <c r="AO771" s="71"/>
      <c r="AP771" s="71"/>
      <c r="AQ771" s="71"/>
      <c r="AR771" s="71"/>
    </row>
    <row r="772" ht="15.75" customHeight="1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  <c r="AA772" s="71"/>
      <c r="AB772" s="71"/>
      <c r="AC772" s="71"/>
      <c r="AD772" s="71"/>
      <c r="AE772" s="71"/>
      <c r="AF772" s="71"/>
      <c r="AG772" s="71"/>
      <c r="AH772" s="71"/>
      <c r="AI772" s="71"/>
      <c r="AJ772" s="71"/>
      <c r="AK772" s="71"/>
      <c r="AL772" s="71"/>
      <c r="AM772" s="71"/>
      <c r="AN772" s="71"/>
      <c r="AO772" s="71"/>
      <c r="AP772" s="71"/>
      <c r="AQ772" s="71"/>
      <c r="AR772" s="71"/>
    </row>
    <row r="773" ht="15.75" customHeight="1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  <c r="AA773" s="71"/>
      <c r="AB773" s="71"/>
      <c r="AC773" s="71"/>
      <c r="AD773" s="71"/>
      <c r="AE773" s="71"/>
      <c r="AF773" s="71"/>
      <c r="AG773" s="71"/>
      <c r="AH773" s="71"/>
      <c r="AI773" s="71"/>
      <c r="AJ773" s="71"/>
      <c r="AK773" s="71"/>
      <c r="AL773" s="71"/>
      <c r="AM773" s="71"/>
      <c r="AN773" s="71"/>
      <c r="AO773" s="71"/>
      <c r="AP773" s="71"/>
      <c r="AQ773" s="71"/>
      <c r="AR773" s="71"/>
    </row>
    <row r="774" ht="15.75" customHeight="1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  <c r="AA774" s="71"/>
      <c r="AB774" s="71"/>
      <c r="AC774" s="71"/>
      <c r="AD774" s="71"/>
      <c r="AE774" s="71"/>
      <c r="AF774" s="71"/>
      <c r="AG774" s="71"/>
      <c r="AH774" s="71"/>
      <c r="AI774" s="71"/>
      <c r="AJ774" s="71"/>
      <c r="AK774" s="71"/>
      <c r="AL774" s="71"/>
      <c r="AM774" s="71"/>
      <c r="AN774" s="71"/>
      <c r="AO774" s="71"/>
      <c r="AP774" s="71"/>
      <c r="AQ774" s="71"/>
      <c r="AR774" s="71"/>
    </row>
    <row r="775" ht="15.75" customHeight="1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  <c r="AA775" s="71"/>
      <c r="AB775" s="71"/>
      <c r="AC775" s="71"/>
      <c r="AD775" s="71"/>
      <c r="AE775" s="71"/>
      <c r="AF775" s="71"/>
      <c r="AG775" s="71"/>
      <c r="AH775" s="71"/>
      <c r="AI775" s="71"/>
      <c r="AJ775" s="71"/>
      <c r="AK775" s="71"/>
      <c r="AL775" s="71"/>
      <c r="AM775" s="71"/>
      <c r="AN775" s="71"/>
      <c r="AO775" s="71"/>
      <c r="AP775" s="71"/>
      <c r="AQ775" s="71"/>
      <c r="AR775" s="71"/>
    </row>
    <row r="776" ht="15.75" customHeight="1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  <c r="AL776" s="71"/>
      <c r="AM776" s="71"/>
      <c r="AN776" s="71"/>
      <c r="AO776" s="71"/>
      <c r="AP776" s="71"/>
      <c r="AQ776" s="71"/>
      <c r="AR776" s="71"/>
    </row>
    <row r="777" ht="15.75" customHeight="1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  <c r="AA777" s="71"/>
      <c r="AB777" s="71"/>
      <c r="AC777" s="71"/>
      <c r="AD777" s="71"/>
      <c r="AE777" s="71"/>
      <c r="AF777" s="71"/>
      <c r="AG777" s="71"/>
      <c r="AH777" s="71"/>
      <c r="AI777" s="71"/>
      <c r="AJ777" s="71"/>
      <c r="AK777" s="71"/>
      <c r="AL777" s="71"/>
      <c r="AM777" s="71"/>
      <c r="AN777" s="71"/>
      <c r="AO777" s="71"/>
      <c r="AP777" s="71"/>
      <c r="AQ777" s="71"/>
      <c r="AR777" s="71"/>
    </row>
    <row r="778" ht="15.75" customHeight="1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  <c r="AA778" s="71"/>
      <c r="AB778" s="71"/>
      <c r="AC778" s="71"/>
      <c r="AD778" s="71"/>
      <c r="AE778" s="71"/>
      <c r="AF778" s="71"/>
      <c r="AG778" s="71"/>
      <c r="AH778" s="71"/>
      <c r="AI778" s="71"/>
      <c r="AJ778" s="71"/>
      <c r="AK778" s="71"/>
      <c r="AL778" s="71"/>
      <c r="AM778" s="71"/>
      <c r="AN778" s="71"/>
      <c r="AO778" s="71"/>
      <c r="AP778" s="71"/>
      <c r="AQ778" s="71"/>
      <c r="AR778" s="71"/>
    </row>
    <row r="779" ht="15.75" customHeight="1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  <c r="AA779" s="71"/>
      <c r="AB779" s="71"/>
      <c r="AC779" s="71"/>
      <c r="AD779" s="71"/>
      <c r="AE779" s="71"/>
      <c r="AF779" s="71"/>
      <c r="AG779" s="71"/>
      <c r="AH779" s="71"/>
      <c r="AI779" s="71"/>
      <c r="AJ779" s="71"/>
      <c r="AK779" s="71"/>
      <c r="AL779" s="71"/>
      <c r="AM779" s="71"/>
      <c r="AN779" s="71"/>
      <c r="AO779" s="71"/>
      <c r="AP779" s="71"/>
      <c r="AQ779" s="71"/>
      <c r="AR779" s="71"/>
    </row>
    <row r="780" ht="15.75" customHeight="1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71"/>
      <c r="AG780" s="71"/>
      <c r="AH780" s="71"/>
      <c r="AI780" s="71"/>
      <c r="AJ780" s="71"/>
      <c r="AK780" s="71"/>
      <c r="AL780" s="71"/>
      <c r="AM780" s="71"/>
      <c r="AN780" s="71"/>
      <c r="AO780" s="71"/>
      <c r="AP780" s="71"/>
      <c r="AQ780" s="71"/>
      <c r="AR780" s="71"/>
    </row>
    <row r="781" ht="15.75" customHeight="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  <c r="AA781" s="71"/>
      <c r="AB781" s="71"/>
      <c r="AC781" s="71"/>
      <c r="AD781" s="71"/>
      <c r="AE781" s="71"/>
      <c r="AF781" s="71"/>
      <c r="AG781" s="71"/>
      <c r="AH781" s="71"/>
      <c r="AI781" s="71"/>
      <c r="AJ781" s="71"/>
      <c r="AK781" s="71"/>
      <c r="AL781" s="71"/>
      <c r="AM781" s="71"/>
      <c r="AN781" s="71"/>
      <c r="AO781" s="71"/>
      <c r="AP781" s="71"/>
      <c r="AQ781" s="71"/>
      <c r="AR781" s="71"/>
    </row>
    <row r="782" ht="15.75" customHeight="1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  <c r="AA782" s="71"/>
      <c r="AB782" s="71"/>
      <c r="AC782" s="71"/>
      <c r="AD782" s="71"/>
      <c r="AE782" s="71"/>
      <c r="AF782" s="71"/>
      <c r="AG782" s="71"/>
      <c r="AH782" s="71"/>
      <c r="AI782" s="71"/>
      <c r="AJ782" s="71"/>
      <c r="AK782" s="71"/>
      <c r="AL782" s="71"/>
      <c r="AM782" s="71"/>
      <c r="AN782" s="71"/>
      <c r="AO782" s="71"/>
      <c r="AP782" s="71"/>
      <c r="AQ782" s="71"/>
      <c r="AR782" s="71"/>
    </row>
    <row r="783" ht="15.75" customHeight="1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  <c r="AA783" s="71"/>
      <c r="AB783" s="71"/>
      <c r="AC783" s="71"/>
      <c r="AD783" s="71"/>
      <c r="AE783" s="71"/>
      <c r="AF783" s="71"/>
      <c r="AG783" s="71"/>
      <c r="AH783" s="71"/>
      <c r="AI783" s="71"/>
      <c r="AJ783" s="71"/>
      <c r="AK783" s="71"/>
      <c r="AL783" s="71"/>
      <c r="AM783" s="71"/>
      <c r="AN783" s="71"/>
      <c r="AO783" s="71"/>
      <c r="AP783" s="71"/>
      <c r="AQ783" s="71"/>
      <c r="AR783" s="71"/>
    </row>
    <row r="784" ht="15.75" customHeight="1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  <c r="AA784" s="71"/>
      <c r="AB784" s="71"/>
      <c r="AC784" s="71"/>
      <c r="AD784" s="71"/>
      <c r="AE784" s="71"/>
      <c r="AF784" s="71"/>
      <c r="AG784" s="71"/>
      <c r="AH784" s="71"/>
      <c r="AI784" s="71"/>
      <c r="AJ784" s="71"/>
      <c r="AK784" s="71"/>
      <c r="AL784" s="71"/>
      <c r="AM784" s="71"/>
      <c r="AN784" s="71"/>
      <c r="AO784" s="71"/>
      <c r="AP784" s="71"/>
      <c r="AQ784" s="71"/>
      <c r="AR784" s="71"/>
    </row>
    <row r="785" ht="15.75" customHeight="1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  <c r="AA785" s="71"/>
      <c r="AB785" s="71"/>
      <c r="AC785" s="71"/>
      <c r="AD785" s="71"/>
      <c r="AE785" s="71"/>
      <c r="AF785" s="71"/>
      <c r="AG785" s="71"/>
      <c r="AH785" s="71"/>
      <c r="AI785" s="71"/>
      <c r="AJ785" s="71"/>
      <c r="AK785" s="71"/>
      <c r="AL785" s="71"/>
      <c r="AM785" s="71"/>
      <c r="AN785" s="71"/>
      <c r="AO785" s="71"/>
      <c r="AP785" s="71"/>
      <c r="AQ785" s="71"/>
      <c r="AR785" s="71"/>
    </row>
    <row r="786" ht="15.75" customHeight="1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  <c r="AA786" s="71"/>
      <c r="AB786" s="71"/>
      <c r="AC786" s="71"/>
      <c r="AD786" s="71"/>
      <c r="AE786" s="71"/>
      <c r="AF786" s="71"/>
      <c r="AG786" s="71"/>
      <c r="AH786" s="71"/>
      <c r="AI786" s="71"/>
      <c r="AJ786" s="71"/>
      <c r="AK786" s="71"/>
      <c r="AL786" s="71"/>
      <c r="AM786" s="71"/>
      <c r="AN786" s="71"/>
      <c r="AO786" s="71"/>
      <c r="AP786" s="71"/>
      <c r="AQ786" s="71"/>
      <c r="AR786" s="71"/>
    </row>
    <row r="787" ht="15.75" customHeight="1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  <c r="AA787" s="71"/>
      <c r="AB787" s="71"/>
      <c r="AC787" s="71"/>
      <c r="AD787" s="71"/>
      <c r="AE787" s="71"/>
      <c r="AF787" s="71"/>
      <c r="AG787" s="71"/>
      <c r="AH787" s="71"/>
      <c r="AI787" s="71"/>
      <c r="AJ787" s="71"/>
      <c r="AK787" s="71"/>
      <c r="AL787" s="71"/>
      <c r="AM787" s="71"/>
      <c r="AN787" s="71"/>
      <c r="AO787" s="71"/>
      <c r="AP787" s="71"/>
      <c r="AQ787" s="71"/>
      <c r="AR787" s="71"/>
    </row>
    <row r="788" ht="15.75" customHeight="1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  <c r="AA788" s="71"/>
      <c r="AB788" s="71"/>
      <c r="AC788" s="71"/>
      <c r="AD788" s="71"/>
      <c r="AE788" s="71"/>
      <c r="AF788" s="71"/>
      <c r="AG788" s="71"/>
      <c r="AH788" s="71"/>
      <c r="AI788" s="71"/>
      <c r="AJ788" s="71"/>
      <c r="AK788" s="71"/>
      <c r="AL788" s="71"/>
      <c r="AM788" s="71"/>
      <c r="AN788" s="71"/>
      <c r="AO788" s="71"/>
      <c r="AP788" s="71"/>
      <c r="AQ788" s="71"/>
      <c r="AR788" s="71"/>
    </row>
    <row r="789" ht="15.75" customHeight="1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71"/>
      <c r="AG789" s="71"/>
      <c r="AH789" s="71"/>
      <c r="AI789" s="71"/>
      <c r="AJ789" s="71"/>
      <c r="AK789" s="71"/>
      <c r="AL789" s="71"/>
      <c r="AM789" s="71"/>
      <c r="AN789" s="71"/>
      <c r="AO789" s="71"/>
      <c r="AP789" s="71"/>
      <c r="AQ789" s="71"/>
      <c r="AR789" s="71"/>
    </row>
    <row r="790" ht="15.75" customHeight="1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  <c r="AA790" s="71"/>
      <c r="AB790" s="71"/>
      <c r="AC790" s="71"/>
      <c r="AD790" s="71"/>
      <c r="AE790" s="71"/>
      <c r="AF790" s="71"/>
      <c r="AG790" s="71"/>
      <c r="AH790" s="71"/>
      <c r="AI790" s="71"/>
      <c r="AJ790" s="71"/>
      <c r="AK790" s="71"/>
      <c r="AL790" s="71"/>
      <c r="AM790" s="71"/>
      <c r="AN790" s="71"/>
      <c r="AO790" s="71"/>
      <c r="AP790" s="71"/>
      <c r="AQ790" s="71"/>
      <c r="AR790" s="71"/>
    </row>
    <row r="791" ht="15.75" customHeight="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  <c r="AA791" s="71"/>
      <c r="AB791" s="71"/>
      <c r="AC791" s="71"/>
      <c r="AD791" s="71"/>
      <c r="AE791" s="71"/>
      <c r="AF791" s="71"/>
      <c r="AG791" s="71"/>
      <c r="AH791" s="71"/>
      <c r="AI791" s="71"/>
      <c r="AJ791" s="71"/>
      <c r="AK791" s="71"/>
      <c r="AL791" s="71"/>
      <c r="AM791" s="71"/>
      <c r="AN791" s="71"/>
      <c r="AO791" s="71"/>
      <c r="AP791" s="71"/>
      <c r="AQ791" s="71"/>
      <c r="AR791" s="71"/>
    </row>
    <row r="792" ht="15.75" customHeight="1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  <c r="AA792" s="71"/>
      <c r="AB792" s="71"/>
      <c r="AC792" s="71"/>
      <c r="AD792" s="71"/>
      <c r="AE792" s="71"/>
      <c r="AF792" s="71"/>
      <c r="AG792" s="71"/>
      <c r="AH792" s="71"/>
      <c r="AI792" s="71"/>
      <c r="AJ792" s="71"/>
      <c r="AK792" s="71"/>
      <c r="AL792" s="71"/>
      <c r="AM792" s="71"/>
      <c r="AN792" s="71"/>
      <c r="AO792" s="71"/>
      <c r="AP792" s="71"/>
      <c r="AQ792" s="71"/>
      <c r="AR792" s="71"/>
    </row>
    <row r="793" ht="15.75" customHeight="1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  <c r="AA793" s="71"/>
      <c r="AB793" s="71"/>
      <c r="AC793" s="71"/>
      <c r="AD793" s="71"/>
      <c r="AE793" s="71"/>
      <c r="AF793" s="71"/>
      <c r="AG793" s="71"/>
      <c r="AH793" s="71"/>
      <c r="AI793" s="71"/>
      <c r="AJ793" s="71"/>
      <c r="AK793" s="71"/>
      <c r="AL793" s="71"/>
      <c r="AM793" s="71"/>
      <c r="AN793" s="71"/>
      <c r="AO793" s="71"/>
      <c r="AP793" s="71"/>
      <c r="AQ793" s="71"/>
      <c r="AR793" s="71"/>
    </row>
    <row r="794" ht="15.75" customHeight="1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  <c r="AA794" s="71"/>
      <c r="AB794" s="71"/>
      <c r="AC794" s="71"/>
      <c r="AD794" s="71"/>
      <c r="AE794" s="71"/>
      <c r="AF794" s="71"/>
      <c r="AG794" s="71"/>
      <c r="AH794" s="71"/>
      <c r="AI794" s="71"/>
      <c r="AJ794" s="71"/>
      <c r="AK794" s="71"/>
      <c r="AL794" s="71"/>
      <c r="AM794" s="71"/>
      <c r="AN794" s="71"/>
      <c r="AO794" s="71"/>
      <c r="AP794" s="71"/>
      <c r="AQ794" s="71"/>
      <c r="AR794" s="71"/>
    </row>
    <row r="795" ht="15.75" customHeight="1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  <c r="AA795" s="71"/>
      <c r="AB795" s="71"/>
      <c r="AC795" s="71"/>
      <c r="AD795" s="71"/>
      <c r="AE795" s="71"/>
      <c r="AF795" s="71"/>
      <c r="AG795" s="71"/>
      <c r="AH795" s="71"/>
      <c r="AI795" s="71"/>
      <c r="AJ795" s="71"/>
      <c r="AK795" s="71"/>
      <c r="AL795" s="71"/>
      <c r="AM795" s="71"/>
      <c r="AN795" s="71"/>
      <c r="AO795" s="71"/>
      <c r="AP795" s="71"/>
      <c r="AQ795" s="71"/>
      <c r="AR795" s="71"/>
    </row>
    <row r="796" ht="15.75" customHeight="1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  <c r="AA796" s="71"/>
      <c r="AB796" s="71"/>
      <c r="AC796" s="71"/>
      <c r="AD796" s="71"/>
      <c r="AE796" s="71"/>
      <c r="AF796" s="71"/>
      <c r="AG796" s="71"/>
      <c r="AH796" s="71"/>
      <c r="AI796" s="71"/>
      <c r="AJ796" s="71"/>
      <c r="AK796" s="71"/>
      <c r="AL796" s="71"/>
      <c r="AM796" s="71"/>
      <c r="AN796" s="71"/>
      <c r="AO796" s="71"/>
      <c r="AP796" s="71"/>
      <c r="AQ796" s="71"/>
      <c r="AR796" s="71"/>
    </row>
    <row r="797" ht="15.75" customHeight="1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  <c r="AA797" s="71"/>
      <c r="AB797" s="71"/>
      <c r="AC797" s="71"/>
      <c r="AD797" s="71"/>
      <c r="AE797" s="71"/>
      <c r="AF797" s="71"/>
      <c r="AG797" s="71"/>
      <c r="AH797" s="71"/>
      <c r="AI797" s="71"/>
      <c r="AJ797" s="71"/>
      <c r="AK797" s="71"/>
      <c r="AL797" s="71"/>
      <c r="AM797" s="71"/>
      <c r="AN797" s="71"/>
      <c r="AO797" s="71"/>
      <c r="AP797" s="71"/>
      <c r="AQ797" s="71"/>
      <c r="AR797" s="71"/>
    </row>
    <row r="798" ht="15.75" customHeight="1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71"/>
      <c r="AG798" s="71"/>
      <c r="AH798" s="71"/>
      <c r="AI798" s="71"/>
      <c r="AJ798" s="71"/>
      <c r="AK798" s="71"/>
      <c r="AL798" s="71"/>
      <c r="AM798" s="71"/>
      <c r="AN798" s="71"/>
      <c r="AO798" s="71"/>
      <c r="AP798" s="71"/>
      <c r="AQ798" s="71"/>
      <c r="AR798" s="71"/>
    </row>
    <row r="799" ht="15.75" customHeight="1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  <c r="AA799" s="71"/>
      <c r="AB799" s="71"/>
      <c r="AC799" s="71"/>
      <c r="AD799" s="71"/>
      <c r="AE799" s="71"/>
      <c r="AF799" s="71"/>
      <c r="AG799" s="71"/>
      <c r="AH799" s="71"/>
      <c r="AI799" s="71"/>
      <c r="AJ799" s="71"/>
      <c r="AK799" s="71"/>
      <c r="AL799" s="71"/>
      <c r="AM799" s="71"/>
      <c r="AN799" s="71"/>
      <c r="AO799" s="71"/>
      <c r="AP799" s="71"/>
      <c r="AQ799" s="71"/>
      <c r="AR799" s="71"/>
    </row>
    <row r="800" ht="15.75" customHeight="1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  <c r="AA800" s="71"/>
      <c r="AB800" s="71"/>
      <c r="AC800" s="71"/>
      <c r="AD800" s="71"/>
      <c r="AE800" s="71"/>
      <c r="AF800" s="71"/>
      <c r="AG800" s="71"/>
      <c r="AH800" s="71"/>
      <c r="AI800" s="71"/>
      <c r="AJ800" s="71"/>
      <c r="AK800" s="71"/>
      <c r="AL800" s="71"/>
      <c r="AM800" s="71"/>
      <c r="AN800" s="71"/>
      <c r="AO800" s="71"/>
      <c r="AP800" s="71"/>
      <c r="AQ800" s="71"/>
      <c r="AR800" s="71"/>
    </row>
    <row r="801" ht="15.75" customHeight="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  <c r="AA801" s="71"/>
      <c r="AB801" s="71"/>
      <c r="AC801" s="71"/>
      <c r="AD801" s="71"/>
      <c r="AE801" s="71"/>
      <c r="AF801" s="71"/>
      <c r="AG801" s="71"/>
      <c r="AH801" s="71"/>
      <c r="AI801" s="71"/>
      <c r="AJ801" s="71"/>
      <c r="AK801" s="71"/>
      <c r="AL801" s="71"/>
      <c r="AM801" s="71"/>
      <c r="AN801" s="71"/>
      <c r="AO801" s="71"/>
      <c r="AP801" s="71"/>
      <c r="AQ801" s="71"/>
      <c r="AR801" s="71"/>
    </row>
    <row r="802" ht="15.75" customHeight="1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  <c r="AA802" s="71"/>
      <c r="AB802" s="71"/>
      <c r="AC802" s="71"/>
      <c r="AD802" s="71"/>
      <c r="AE802" s="71"/>
      <c r="AF802" s="71"/>
      <c r="AG802" s="71"/>
      <c r="AH802" s="71"/>
      <c r="AI802" s="71"/>
      <c r="AJ802" s="71"/>
      <c r="AK802" s="71"/>
      <c r="AL802" s="71"/>
      <c r="AM802" s="71"/>
      <c r="AN802" s="71"/>
      <c r="AO802" s="71"/>
      <c r="AP802" s="71"/>
      <c r="AQ802" s="71"/>
      <c r="AR802" s="71"/>
    </row>
    <row r="803" ht="15.75" customHeight="1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  <c r="AA803" s="71"/>
      <c r="AB803" s="71"/>
      <c r="AC803" s="71"/>
      <c r="AD803" s="71"/>
      <c r="AE803" s="71"/>
      <c r="AF803" s="71"/>
      <c r="AG803" s="71"/>
      <c r="AH803" s="71"/>
      <c r="AI803" s="71"/>
      <c r="AJ803" s="71"/>
      <c r="AK803" s="71"/>
      <c r="AL803" s="71"/>
      <c r="AM803" s="71"/>
      <c r="AN803" s="71"/>
      <c r="AO803" s="71"/>
      <c r="AP803" s="71"/>
      <c r="AQ803" s="71"/>
      <c r="AR803" s="71"/>
    </row>
    <row r="804" ht="15.75" customHeight="1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  <c r="AA804" s="71"/>
      <c r="AB804" s="71"/>
      <c r="AC804" s="71"/>
      <c r="AD804" s="71"/>
      <c r="AE804" s="71"/>
      <c r="AF804" s="71"/>
      <c r="AG804" s="71"/>
      <c r="AH804" s="71"/>
      <c r="AI804" s="71"/>
      <c r="AJ804" s="71"/>
      <c r="AK804" s="71"/>
      <c r="AL804" s="71"/>
      <c r="AM804" s="71"/>
      <c r="AN804" s="71"/>
      <c r="AO804" s="71"/>
      <c r="AP804" s="71"/>
      <c r="AQ804" s="71"/>
      <c r="AR804" s="71"/>
    </row>
    <row r="805" ht="15.75" customHeight="1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  <c r="AA805" s="71"/>
      <c r="AB805" s="71"/>
      <c r="AC805" s="71"/>
      <c r="AD805" s="71"/>
      <c r="AE805" s="71"/>
      <c r="AF805" s="71"/>
      <c r="AG805" s="71"/>
      <c r="AH805" s="71"/>
      <c r="AI805" s="71"/>
      <c r="AJ805" s="71"/>
      <c r="AK805" s="71"/>
      <c r="AL805" s="71"/>
      <c r="AM805" s="71"/>
      <c r="AN805" s="71"/>
      <c r="AO805" s="71"/>
      <c r="AP805" s="71"/>
      <c r="AQ805" s="71"/>
      <c r="AR805" s="71"/>
    </row>
    <row r="806" ht="15.75" customHeight="1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  <c r="AA806" s="71"/>
      <c r="AB806" s="71"/>
      <c r="AC806" s="71"/>
      <c r="AD806" s="71"/>
      <c r="AE806" s="71"/>
      <c r="AF806" s="71"/>
      <c r="AG806" s="71"/>
      <c r="AH806" s="71"/>
      <c r="AI806" s="71"/>
      <c r="AJ806" s="71"/>
      <c r="AK806" s="71"/>
      <c r="AL806" s="71"/>
      <c r="AM806" s="71"/>
      <c r="AN806" s="71"/>
      <c r="AO806" s="71"/>
      <c r="AP806" s="71"/>
      <c r="AQ806" s="71"/>
      <c r="AR806" s="71"/>
    </row>
    <row r="807" ht="15.75" customHeight="1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  <c r="AA807" s="71"/>
      <c r="AB807" s="71"/>
      <c r="AC807" s="71"/>
      <c r="AD807" s="71"/>
      <c r="AE807" s="71"/>
      <c r="AF807" s="71"/>
      <c r="AG807" s="71"/>
      <c r="AH807" s="71"/>
      <c r="AI807" s="71"/>
      <c r="AJ807" s="71"/>
      <c r="AK807" s="71"/>
      <c r="AL807" s="71"/>
      <c r="AM807" s="71"/>
      <c r="AN807" s="71"/>
      <c r="AO807" s="71"/>
      <c r="AP807" s="71"/>
      <c r="AQ807" s="71"/>
      <c r="AR807" s="71"/>
    </row>
    <row r="808" ht="15.75" customHeight="1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  <c r="AA808" s="71"/>
      <c r="AB808" s="71"/>
      <c r="AC808" s="71"/>
      <c r="AD808" s="71"/>
      <c r="AE808" s="71"/>
      <c r="AF808" s="71"/>
      <c r="AG808" s="71"/>
      <c r="AH808" s="71"/>
      <c r="AI808" s="71"/>
      <c r="AJ808" s="71"/>
      <c r="AK808" s="71"/>
      <c r="AL808" s="71"/>
      <c r="AM808" s="71"/>
      <c r="AN808" s="71"/>
      <c r="AO808" s="71"/>
      <c r="AP808" s="71"/>
      <c r="AQ808" s="71"/>
      <c r="AR808" s="71"/>
    </row>
    <row r="809" ht="15.75" customHeight="1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  <c r="AI809" s="71"/>
      <c r="AJ809" s="71"/>
      <c r="AK809" s="71"/>
      <c r="AL809" s="71"/>
      <c r="AM809" s="71"/>
      <c r="AN809" s="71"/>
      <c r="AO809" s="71"/>
      <c r="AP809" s="71"/>
      <c r="AQ809" s="71"/>
      <c r="AR809" s="71"/>
    </row>
    <row r="810" ht="15.75" customHeight="1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  <c r="AI810" s="71"/>
      <c r="AJ810" s="71"/>
      <c r="AK810" s="71"/>
      <c r="AL810" s="71"/>
      <c r="AM810" s="71"/>
      <c r="AN810" s="71"/>
      <c r="AO810" s="71"/>
      <c r="AP810" s="71"/>
      <c r="AQ810" s="71"/>
      <c r="AR810" s="71"/>
    </row>
    <row r="811" ht="15.75" customHeight="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  <c r="AA811" s="71"/>
      <c r="AB811" s="71"/>
      <c r="AC811" s="71"/>
      <c r="AD811" s="71"/>
      <c r="AE811" s="71"/>
      <c r="AF811" s="71"/>
      <c r="AG811" s="71"/>
      <c r="AH811" s="71"/>
      <c r="AI811" s="71"/>
      <c r="AJ811" s="71"/>
      <c r="AK811" s="71"/>
      <c r="AL811" s="71"/>
      <c r="AM811" s="71"/>
      <c r="AN811" s="71"/>
      <c r="AO811" s="71"/>
      <c r="AP811" s="71"/>
      <c r="AQ811" s="71"/>
      <c r="AR811" s="71"/>
    </row>
    <row r="812" ht="15.75" customHeight="1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  <c r="AA812" s="71"/>
      <c r="AB812" s="71"/>
      <c r="AC812" s="71"/>
      <c r="AD812" s="71"/>
      <c r="AE812" s="71"/>
      <c r="AF812" s="71"/>
      <c r="AG812" s="71"/>
      <c r="AH812" s="71"/>
      <c r="AI812" s="71"/>
      <c r="AJ812" s="71"/>
      <c r="AK812" s="71"/>
      <c r="AL812" s="71"/>
      <c r="AM812" s="71"/>
      <c r="AN812" s="71"/>
      <c r="AO812" s="71"/>
      <c r="AP812" s="71"/>
      <c r="AQ812" s="71"/>
      <c r="AR812" s="71"/>
    </row>
    <row r="813" ht="15.75" customHeight="1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  <c r="AA813" s="71"/>
      <c r="AB813" s="71"/>
      <c r="AC813" s="71"/>
      <c r="AD813" s="71"/>
      <c r="AE813" s="71"/>
      <c r="AF813" s="71"/>
      <c r="AG813" s="71"/>
      <c r="AH813" s="71"/>
      <c r="AI813" s="71"/>
      <c r="AJ813" s="71"/>
      <c r="AK813" s="71"/>
      <c r="AL813" s="71"/>
      <c r="AM813" s="71"/>
      <c r="AN813" s="71"/>
      <c r="AO813" s="71"/>
      <c r="AP813" s="71"/>
      <c r="AQ813" s="71"/>
      <c r="AR813" s="71"/>
    </row>
    <row r="814" ht="15.75" customHeight="1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  <c r="AA814" s="71"/>
      <c r="AB814" s="71"/>
      <c r="AC814" s="71"/>
      <c r="AD814" s="71"/>
      <c r="AE814" s="71"/>
      <c r="AF814" s="71"/>
      <c r="AG814" s="71"/>
      <c r="AH814" s="71"/>
      <c r="AI814" s="71"/>
      <c r="AJ814" s="71"/>
      <c r="AK814" s="71"/>
      <c r="AL814" s="71"/>
      <c r="AM814" s="71"/>
      <c r="AN814" s="71"/>
      <c r="AO814" s="71"/>
      <c r="AP814" s="71"/>
      <c r="AQ814" s="71"/>
      <c r="AR814" s="71"/>
    </row>
    <row r="815" ht="15.75" customHeight="1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  <c r="AA815" s="71"/>
      <c r="AB815" s="71"/>
      <c r="AC815" s="71"/>
      <c r="AD815" s="71"/>
      <c r="AE815" s="71"/>
      <c r="AF815" s="71"/>
      <c r="AG815" s="71"/>
      <c r="AH815" s="71"/>
      <c r="AI815" s="71"/>
      <c r="AJ815" s="71"/>
      <c r="AK815" s="71"/>
      <c r="AL815" s="71"/>
      <c r="AM815" s="71"/>
      <c r="AN815" s="71"/>
      <c r="AO815" s="71"/>
      <c r="AP815" s="71"/>
      <c r="AQ815" s="71"/>
      <c r="AR815" s="71"/>
    </row>
    <row r="816" ht="15.75" customHeight="1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  <c r="AA816" s="71"/>
      <c r="AB816" s="71"/>
      <c r="AC816" s="71"/>
      <c r="AD816" s="71"/>
      <c r="AE816" s="71"/>
      <c r="AF816" s="71"/>
      <c r="AG816" s="71"/>
      <c r="AH816" s="71"/>
      <c r="AI816" s="71"/>
      <c r="AJ816" s="71"/>
      <c r="AK816" s="71"/>
      <c r="AL816" s="71"/>
      <c r="AM816" s="71"/>
      <c r="AN816" s="71"/>
      <c r="AO816" s="71"/>
      <c r="AP816" s="71"/>
      <c r="AQ816" s="71"/>
      <c r="AR816" s="71"/>
    </row>
    <row r="817" ht="15.75" customHeight="1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  <c r="AA817" s="71"/>
      <c r="AB817" s="71"/>
      <c r="AC817" s="71"/>
      <c r="AD817" s="71"/>
      <c r="AE817" s="71"/>
      <c r="AF817" s="71"/>
      <c r="AG817" s="71"/>
      <c r="AH817" s="71"/>
      <c r="AI817" s="71"/>
      <c r="AJ817" s="71"/>
      <c r="AK817" s="71"/>
      <c r="AL817" s="71"/>
      <c r="AM817" s="71"/>
      <c r="AN817" s="71"/>
      <c r="AO817" s="71"/>
      <c r="AP817" s="71"/>
      <c r="AQ817" s="71"/>
      <c r="AR817" s="71"/>
    </row>
    <row r="818" ht="15.75" customHeight="1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  <c r="AA818" s="71"/>
      <c r="AB818" s="71"/>
      <c r="AC818" s="71"/>
      <c r="AD818" s="71"/>
      <c r="AE818" s="71"/>
      <c r="AF818" s="71"/>
      <c r="AG818" s="71"/>
      <c r="AH818" s="71"/>
      <c r="AI818" s="71"/>
      <c r="AJ818" s="71"/>
      <c r="AK818" s="71"/>
      <c r="AL818" s="71"/>
      <c r="AM818" s="71"/>
      <c r="AN818" s="71"/>
      <c r="AO818" s="71"/>
      <c r="AP818" s="71"/>
      <c r="AQ818" s="71"/>
      <c r="AR818" s="71"/>
    </row>
    <row r="819" ht="15.75" customHeight="1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  <c r="AA819" s="71"/>
      <c r="AB819" s="71"/>
      <c r="AC819" s="71"/>
      <c r="AD819" s="71"/>
      <c r="AE819" s="71"/>
      <c r="AF819" s="71"/>
      <c r="AG819" s="71"/>
      <c r="AH819" s="71"/>
      <c r="AI819" s="71"/>
      <c r="AJ819" s="71"/>
      <c r="AK819" s="71"/>
      <c r="AL819" s="71"/>
      <c r="AM819" s="71"/>
      <c r="AN819" s="71"/>
      <c r="AO819" s="71"/>
      <c r="AP819" s="71"/>
      <c r="AQ819" s="71"/>
      <c r="AR819" s="71"/>
    </row>
    <row r="820" ht="15.75" customHeight="1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  <c r="AA820" s="71"/>
      <c r="AB820" s="71"/>
      <c r="AC820" s="71"/>
      <c r="AD820" s="71"/>
      <c r="AE820" s="71"/>
      <c r="AF820" s="71"/>
      <c r="AG820" s="71"/>
      <c r="AH820" s="71"/>
      <c r="AI820" s="71"/>
      <c r="AJ820" s="71"/>
      <c r="AK820" s="71"/>
      <c r="AL820" s="71"/>
      <c r="AM820" s="71"/>
      <c r="AN820" s="71"/>
      <c r="AO820" s="71"/>
      <c r="AP820" s="71"/>
      <c r="AQ820" s="71"/>
      <c r="AR820" s="71"/>
    </row>
    <row r="821" ht="15.75" customHeight="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  <c r="AA821" s="71"/>
      <c r="AB821" s="71"/>
      <c r="AC821" s="71"/>
      <c r="AD821" s="71"/>
      <c r="AE821" s="71"/>
      <c r="AF821" s="71"/>
      <c r="AG821" s="71"/>
      <c r="AH821" s="71"/>
      <c r="AI821" s="71"/>
      <c r="AJ821" s="71"/>
      <c r="AK821" s="71"/>
      <c r="AL821" s="71"/>
      <c r="AM821" s="71"/>
      <c r="AN821" s="71"/>
      <c r="AO821" s="71"/>
      <c r="AP821" s="71"/>
      <c r="AQ821" s="71"/>
      <c r="AR821" s="71"/>
    </row>
    <row r="822" ht="15.75" customHeight="1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  <c r="AA822" s="71"/>
      <c r="AB822" s="71"/>
      <c r="AC822" s="71"/>
      <c r="AD822" s="71"/>
      <c r="AE822" s="71"/>
      <c r="AF822" s="71"/>
      <c r="AG822" s="71"/>
      <c r="AH822" s="71"/>
      <c r="AI822" s="71"/>
      <c r="AJ822" s="71"/>
      <c r="AK822" s="71"/>
      <c r="AL822" s="71"/>
      <c r="AM822" s="71"/>
      <c r="AN822" s="71"/>
      <c r="AO822" s="71"/>
      <c r="AP822" s="71"/>
      <c r="AQ822" s="71"/>
      <c r="AR822" s="71"/>
    </row>
    <row r="823" ht="15.75" customHeight="1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  <c r="AA823" s="71"/>
      <c r="AB823" s="71"/>
      <c r="AC823" s="71"/>
      <c r="AD823" s="71"/>
      <c r="AE823" s="71"/>
      <c r="AF823" s="71"/>
      <c r="AG823" s="71"/>
      <c r="AH823" s="71"/>
      <c r="AI823" s="71"/>
      <c r="AJ823" s="71"/>
      <c r="AK823" s="71"/>
      <c r="AL823" s="71"/>
      <c r="AM823" s="71"/>
      <c r="AN823" s="71"/>
      <c r="AO823" s="71"/>
      <c r="AP823" s="71"/>
      <c r="AQ823" s="71"/>
      <c r="AR823" s="71"/>
    </row>
    <row r="824" ht="15.75" customHeight="1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  <c r="AA824" s="71"/>
      <c r="AB824" s="71"/>
      <c r="AC824" s="71"/>
      <c r="AD824" s="71"/>
      <c r="AE824" s="71"/>
      <c r="AF824" s="71"/>
      <c r="AG824" s="71"/>
      <c r="AH824" s="71"/>
      <c r="AI824" s="71"/>
      <c r="AJ824" s="71"/>
      <c r="AK824" s="71"/>
      <c r="AL824" s="71"/>
      <c r="AM824" s="71"/>
      <c r="AN824" s="71"/>
      <c r="AO824" s="71"/>
      <c r="AP824" s="71"/>
      <c r="AQ824" s="71"/>
      <c r="AR824" s="71"/>
    </row>
    <row r="825" ht="15.75" customHeight="1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  <c r="AA825" s="71"/>
      <c r="AB825" s="71"/>
      <c r="AC825" s="71"/>
      <c r="AD825" s="71"/>
      <c r="AE825" s="71"/>
      <c r="AF825" s="71"/>
      <c r="AG825" s="71"/>
      <c r="AH825" s="71"/>
      <c r="AI825" s="71"/>
      <c r="AJ825" s="71"/>
      <c r="AK825" s="71"/>
      <c r="AL825" s="71"/>
      <c r="AM825" s="71"/>
      <c r="AN825" s="71"/>
      <c r="AO825" s="71"/>
      <c r="AP825" s="71"/>
      <c r="AQ825" s="71"/>
      <c r="AR825" s="71"/>
    </row>
    <row r="826" ht="15.75" customHeight="1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  <c r="AA826" s="71"/>
      <c r="AB826" s="71"/>
      <c r="AC826" s="71"/>
      <c r="AD826" s="71"/>
      <c r="AE826" s="71"/>
      <c r="AF826" s="71"/>
      <c r="AG826" s="71"/>
      <c r="AH826" s="71"/>
      <c r="AI826" s="71"/>
      <c r="AJ826" s="71"/>
      <c r="AK826" s="71"/>
      <c r="AL826" s="71"/>
      <c r="AM826" s="71"/>
      <c r="AN826" s="71"/>
      <c r="AO826" s="71"/>
      <c r="AP826" s="71"/>
      <c r="AQ826" s="71"/>
      <c r="AR826" s="71"/>
    </row>
    <row r="827" ht="15.75" customHeight="1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  <c r="AA827" s="71"/>
      <c r="AB827" s="71"/>
      <c r="AC827" s="71"/>
      <c r="AD827" s="71"/>
      <c r="AE827" s="71"/>
      <c r="AF827" s="71"/>
      <c r="AG827" s="71"/>
      <c r="AH827" s="71"/>
      <c r="AI827" s="71"/>
      <c r="AJ827" s="71"/>
      <c r="AK827" s="71"/>
      <c r="AL827" s="71"/>
      <c r="AM827" s="71"/>
      <c r="AN827" s="71"/>
      <c r="AO827" s="71"/>
      <c r="AP827" s="71"/>
      <c r="AQ827" s="71"/>
      <c r="AR827" s="71"/>
    </row>
    <row r="828" ht="15.75" customHeight="1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  <c r="AA828" s="71"/>
      <c r="AB828" s="71"/>
      <c r="AC828" s="71"/>
      <c r="AD828" s="71"/>
      <c r="AE828" s="71"/>
      <c r="AF828" s="71"/>
      <c r="AG828" s="71"/>
      <c r="AH828" s="71"/>
      <c r="AI828" s="71"/>
      <c r="AJ828" s="71"/>
      <c r="AK828" s="71"/>
      <c r="AL828" s="71"/>
      <c r="AM828" s="71"/>
      <c r="AN828" s="71"/>
      <c r="AO828" s="71"/>
      <c r="AP828" s="71"/>
      <c r="AQ828" s="71"/>
      <c r="AR828" s="71"/>
    </row>
    <row r="829" ht="15.75" customHeight="1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  <c r="AA829" s="71"/>
      <c r="AB829" s="71"/>
      <c r="AC829" s="71"/>
      <c r="AD829" s="71"/>
      <c r="AE829" s="71"/>
      <c r="AF829" s="71"/>
      <c r="AG829" s="71"/>
      <c r="AH829" s="71"/>
      <c r="AI829" s="71"/>
      <c r="AJ829" s="71"/>
      <c r="AK829" s="71"/>
      <c r="AL829" s="71"/>
      <c r="AM829" s="71"/>
      <c r="AN829" s="71"/>
      <c r="AO829" s="71"/>
      <c r="AP829" s="71"/>
      <c r="AQ829" s="71"/>
      <c r="AR829" s="71"/>
    </row>
    <row r="830" ht="15.75" customHeight="1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  <c r="AA830" s="71"/>
      <c r="AB830" s="71"/>
      <c r="AC830" s="71"/>
      <c r="AD830" s="71"/>
      <c r="AE830" s="71"/>
      <c r="AF830" s="71"/>
      <c r="AG830" s="71"/>
      <c r="AH830" s="71"/>
      <c r="AI830" s="71"/>
      <c r="AJ830" s="71"/>
      <c r="AK830" s="71"/>
      <c r="AL830" s="71"/>
      <c r="AM830" s="71"/>
      <c r="AN830" s="71"/>
      <c r="AO830" s="71"/>
      <c r="AP830" s="71"/>
      <c r="AQ830" s="71"/>
      <c r="AR830" s="71"/>
    </row>
    <row r="831" ht="15.75" customHeight="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  <c r="AA831" s="71"/>
      <c r="AB831" s="71"/>
      <c r="AC831" s="71"/>
      <c r="AD831" s="71"/>
      <c r="AE831" s="71"/>
      <c r="AF831" s="71"/>
      <c r="AG831" s="71"/>
      <c r="AH831" s="71"/>
      <c r="AI831" s="71"/>
      <c r="AJ831" s="71"/>
      <c r="AK831" s="71"/>
      <c r="AL831" s="71"/>
      <c r="AM831" s="71"/>
      <c r="AN831" s="71"/>
      <c r="AO831" s="71"/>
      <c r="AP831" s="71"/>
      <c r="AQ831" s="71"/>
      <c r="AR831" s="71"/>
    </row>
    <row r="832" ht="15.75" customHeight="1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  <c r="AA832" s="71"/>
      <c r="AB832" s="71"/>
      <c r="AC832" s="71"/>
      <c r="AD832" s="71"/>
      <c r="AE832" s="71"/>
      <c r="AF832" s="71"/>
      <c r="AG832" s="71"/>
      <c r="AH832" s="71"/>
      <c r="AI832" s="71"/>
      <c r="AJ832" s="71"/>
      <c r="AK832" s="71"/>
      <c r="AL832" s="71"/>
      <c r="AM832" s="71"/>
      <c r="AN832" s="71"/>
      <c r="AO832" s="71"/>
      <c r="AP832" s="71"/>
      <c r="AQ832" s="71"/>
      <c r="AR832" s="71"/>
    </row>
    <row r="833" ht="15.75" customHeight="1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  <c r="AA833" s="71"/>
      <c r="AB833" s="71"/>
      <c r="AC833" s="71"/>
      <c r="AD833" s="71"/>
      <c r="AE833" s="71"/>
      <c r="AF833" s="71"/>
      <c r="AG833" s="71"/>
      <c r="AH833" s="71"/>
      <c r="AI833" s="71"/>
      <c r="AJ833" s="71"/>
      <c r="AK833" s="71"/>
      <c r="AL833" s="71"/>
      <c r="AM833" s="71"/>
      <c r="AN833" s="71"/>
      <c r="AO833" s="71"/>
      <c r="AP833" s="71"/>
      <c r="AQ833" s="71"/>
      <c r="AR833" s="71"/>
    </row>
    <row r="834" ht="15.75" customHeight="1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  <c r="AA834" s="71"/>
      <c r="AB834" s="71"/>
      <c r="AC834" s="71"/>
      <c r="AD834" s="71"/>
      <c r="AE834" s="71"/>
      <c r="AF834" s="71"/>
      <c r="AG834" s="71"/>
      <c r="AH834" s="71"/>
      <c r="AI834" s="71"/>
      <c r="AJ834" s="71"/>
      <c r="AK834" s="71"/>
      <c r="AL834" s="71"/>
      <c r="AM834" s="71"/>
      <c r="AN834" s="71"/>
      <c r="AO834" s="71"/>
      <c r="AP834" s="71"/>
      <c r="AQ834" s="71"/>
      <c r="AR834" s="71"/>
    </row>
    <row r="835" ht="15.75" customHeight="1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  <c r="AA835" s="71"/>
      <c r="AB835" s="71"/>
      <c r="AC835" s="71"/>
      <c r="AD835" s="71"/>
      <c r="AE835" s="71"/>
      <c r="AF835" s="71"/>
      <c r="AG835" s="71"/>
      <c r="AH835" s="71"/>
      <c r="AI835" s="71"/>
      <c r="AJ835" s="71"/>
      <c r="AK835" s="71"/>
      <c r="AL835" s="71"/>
      <c r="AM835" s="71"/>
      <c r="AN835" s="71"/>
      <c r="AO835" s="71"/>
      <c r="AP835" s="71"/>
      <c r="AQ835" s="71"/>
      <c r="AR835" s="71"/>
    </row>
    <row r="836" ht="15.75" customHeight="1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  <c r="AA836" s="71"/>
      <c r="AB836" s="71"/>
      <c r="AC836" s="71"/>
      <c r="AD836" s="71"/>
      <c r="AE836" s="71"/>
      <c r="AF836" s="71"/>
      <c r="AG836" s="71"/>
      <c r="AH836" s="71"/>
      <c r="AI836" s="71"/>
      <c r="AJ836" s="71"/>
      <c r="AK836" s="71"/>
      <c r="AL836" s="71"/>
      <c r="AM836" s="71"/>
      <c r="AN836" s="71"/>
      <c r="AO836" s="71"/>
      <c r="AP836" s="71"/>
      <c r="AQ836" s="71"/>
      <c r="AR836" s="71"/>
    </row>
    <row r="837" ht="15.75" customHeight="1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  <c r="AA837" s="71"/>
      <c r="AB837" s="71"/>
      <c r="AC837" s="71"/>
      <c r="AD837" s="71"/>
      <c r="AE837" s="71"/>
      <c r="AF837" s="71"/>
      <c r="AG837" s="71"/>
      <c r="AH837" s="71"/>
      <c r="AI837" s="71"/>
      <c r="AJ837" s="71"/>
      <c r="AK837" s="71"/>
      <c r="AL837" s="71"/>
      <c r="AM837" s="71"/>
      <c r="AN837" s="71"/>
      <c r="AO837" s="71"/>
      <c r="AP837" s="71"/>
      <c r="AQ837" s="71"/>
      <c r="AR837" s="71"/>
    </row>
    <row r="838" ht="15.75" customHeight="1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  <c r="AA838" s="71"/>
      <c r="AB838" s="71"/>
      <c r="AC838" s="71"/>
      <c r="AD838" s="71"/>
      <c r="AE838" s="71"/>
      <c r="AF838" s="71"/>
      <c r="AG838" s="71"/>
      <c r="AH838" s="71"/>
      <c r="AI838" s="71"/>
      <c r="AJ838" s="71"/>
      <c r="AK838" s="71"/>
      <c r="AL838" s="71"/>
      <c r="AM838" s="71"/>
      <c r="AN838" s="71"/>
      <c r="AO838" s="71"/>
      <c r="AP838" s="71"/>
      <c r="AQ838" s="71"/>
      <c r="AR838" s="71"/>
    </row>
    <row r="839" ht="15.75" customHeight="1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  <c r="AA839" s="71"/>
      <c r="AB839" s="71"/>
      <c r="AC839" s="71"/>
      <c r="AD839" s="71"/>
      <c r="AE839" s="71"/>
      <c r="AF839" s="71"/>
      <c r="AG839" s="71"/>
      <c r="AH839" s="71"/>
      <c r="AI839" s="71"/>
      <c r="AJ839" s="71"/>
      <c r="AK839" s="71"/>
      <c r="AL839" s="71"/>
      <c r="AM839" s="71"/>
      <c r="AN839" s="71"/>
      <c r="AO839" s="71"/>
      <c r="AP839" s="71"/>
      <c r="AQ839" s="71"/>
      <c r="AR839" s="71"/>
    </row>
    <row r="840" ht="15.75" customHeight="1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  <c r="AA840" s="71"/>
      <c r="AB840" s="71"/>
      <c r="AC840" s="71"/>
      <c r="AD840" s="71"/>
      <c r="AE840" s="71"/>
      <c r="AF840" s="71"/>
      <c r="AG840" s="71"/>
      <c r="AH840" s="71"/>
      <c r="AI840" s="71"/>
      <c r="AJ840" s="71"/>
      <c r="AK840" s="71"/>
      <c r="AL840" s="71"/>
      <c r="AM840" s="71"/>
      <c r="AN840" s="71"/>
      <c r="AO840" s="71"/>
      <c r="AP840" s="71"/>
      <c r="AQ840" s="71"/>
      <c r="AR840" s="71"/>
    </row>
    <row r="841" ht="15.75" customHeight="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  <c r="AA841" s="71"/>
      <c r="AB841" s="71"/>
      <c r="AC841" s="71"/>
      <c r="AD841" s="71"/>
      <c r="AE841" s="71"/>
      <c r="AF841" s="71"/>
      <c r="AG841" s="71"/>
      <c r="AH841" s="71"/>
      <c r="AI841" s="71"/>
      <c r="AJ841" s="71"/>
      <c r="AK841" s="71"/>
      <c r="AL841" s="71"/>
      <c r="AM841" s="71"/>
      <c r="AN841" s="71"/>
      <c r="AO841" s="71"/>
      <c r="AP841" s="71"/>
      <c r="AQ841" s="71"/>
      <c r="AR841" s="71"/>
    </row>
    <row r="842" ht="15.75" customHeight="1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  <c r="AA842" s="71"/>
      <c r="AB842" s="71"/>
      <c r="AC842" s="71"/>
      <c r="AD842" s="71"/>
      <c r="AE842" s="71"/>
      <c r="AF842" s="71"/>
      <c r="AG842" s="71"/>
      <c r="AH842" s="71"/>
      <c r="AI842" s="71"/>
      <c r="AJ842" s="71"/>
      <c r="AK842" s="71"/>
      <c r="AL842" s="71"/>
      <c r="AM842" s="71"/>
      <c r="AN842" s="71"/>
      <c r="AO842" s="71"/>
      <c r="AP842" s="71"/>
      <c r="AQ842" s="71"/>
      <c r="AR842" s="71"/>
    </row>
    <row r="843" ht="15.75" customHeight="1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  <c r="AI843" s="71"/>
      <c r="AJ843" s="71"/>
      <c r="AK843" s="71"/>
      <c r="AL843" s="71"/>
      <c r="AM843" s="71"/>
      <c r="AN843" s="71"/>
      <c r="AO843" s="71"/>
      <c r="AP843" s="71"/>
      <c r="AQ843" s="71"/>
      <c r="AR843" s="71"/>
    </row>
    <row r="844" ht="15.75" customHeight="1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  <c r="AA844" s="71"/>
      <c r="AB844" s="71"/>
      <c r="AC844" s="71"/>
      <c r="AD844" s="71"/>
      <c r="AE844" s="71"/>
      <c r="AF844" s="71"/>
      <c r="AG844" s="71"/>
      <c r="AH844" s="71"/>
      <c r="AI844" s="71"/>
      <c r="AJ844" s="71"/>
      <c r="AK844" s="71"/>
      <c r="AL844" s="71"/>
      <c r="AM844" s="71"/>
      <c r="AN844" s="71"/>
      <c r="AO844" s="71"/>
      <c r="AP844" s="71"/>
      <c r="AQ844" s="71"/>
      <c r="AR844" s="71"/>
    </row>
    <row r="845" ht="15.75" customHeight="1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  <c r="AA845" s="71"/>
      <c r="AB845" s="71"/>
      <c r="AC845" s="71"/>
      <c r="AD845" s="71"/>
      <c r="AE845" s="71"/>
      <c r="AF845" s="71"/>
      <c r="AG845" s="71"/>
      <c r="AH845" s="71"/>
      <c r="AI845" s="71"/>
      <c r="AJ845" s="71"/>
      <c r="AK845" s="71"/>
      <c r="AL845" s="71"/>
      <c r="AM845" s="71"/>
      <c r="AN845" s="71"/>
      <c r="AO845" s="71"/>
      <c r="AP845" s="71"/>
      <c r="AQ845" s="71"/>
      <c r="AR845" s="71"/>
    </row>
    <row r="846" ht="15.75" customHeight="1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  <c r="AA846" s="71"/>
      <c r="AB846" s="71"/>
      <c r="AC846" s="71"/>
      <c r="AD846" s="71"/>
      <c r="AE846" s="71"/>
      <c r="AF846" s="71"/>
      <c r="AG846" s="71"/>
      <c r="AH846" s="71"/>
      <c r="AI846" s="71"/>
      <c r="AJ846" s="71"/>
      <c r="AK846" s="71"/>
      <c r="AL846" s="71"/>
      <c r="AM846" s="71"/>
      <c r="AN846" s="71"/>
      <c r="AO846" s="71"/>
      <c r="AP846" s="71"/>
      <c r="AQ846" s="71"/>
      <c r="AR846" s="71"/>
    </row>
    <row r="847" ht="15.75" customHeight="1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  <c r="AA847" s="71"/>
      <c r="AB847" s="71"/>
      <c r="AC847" s="71"/>
      <c r="AD847" s="71"/>
      <c r="AE847" s="71"/>
      <c r="AF847" s="71"/>
      <c r="AG847" s="71"/>
      <c r="AH847" s="71"/>
      <c r="AI847" s="71"/>
      <c r="AJ847" s="71"/>
      <c r="AK847" s="71"/>
      <c r="AL847" s="71"/>
      <c r="AM847" s="71"/>
      <c r="AN847" s="71"/>
      <c r="AO847" s="71"/>
      <c r="AP847" s="71"/>
      <c r="AQ847" s="71"/>
      <c r="AR847" s="71"/>
    </row>
    <row r="848" ht="15.75" customHeight="1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  <c r="AA848" s="71"/>
      <c r="AB848" s="71"/>
      <c r="AC848" s="71"/>
      <c r="AD848" s="71"/>
      <c r="AE848" s="71"/>
      <c r="AF848" s="71"/>
      <c r="AG848" s="71"/>
      <c r="AH848" s="71"/>
      <c r="AI848" s="71"/>
      <c r="AJ848" s="71"/>
      <c r="AK848" s="71"/>
      <c r="AL848" s="71"/>
      <c r="AM848" s="71"/>
      <c r="AN848" s="71"/>
      <c r="AO848" s="71"/>
      <c r="AP848" s="71"/>
      <c r="AQ848" s="71"/>
      <c r="AR848" s="71"/>
    </row>
    <row r="849" ht="15.75" customHeight="1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  <c r="AA849" s="71"/>
      <c r="AB849" s="71"/>
      <c r="AC849" s="71"/>
      <c r="AD849" s="71"/>
      <c r="AE849" s="71"/>
      <c r="AF849" s="71"/>
      <c r="AG849" s="71"/>
      <c r="AH849" s="71"/>
      <c r="AI849" s="71"/>
      <c r="AJ849" s="71"/>
      <c r="AK849" s="71"/>
      <c r="AL849" s="71"/>
      <c r="AM849" s="71"/>
      <c r="AN849" s="71"/>
      <c r="AO849" s="71"/>
      <c r="AP849" s="71"/>
      <c r="AQ849" s="71"/>
      <c r="AR849" s="71"/>
    </row>
    <row r="850" ht="15.75" customHeight="1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  <c r="AA850" s="71"/>
      <c r="AB850" s="71"/>
      <c r="AC850" s="71"/>
      <c r="AD850" s="71"/>
      <c r="AE850" s="71"/>
      <c r="AF850" s="71"/>
      <c r="AG850" s="71"/>
      <c r="AH850" s="71"/>
      <c r="AI850" s="71"/>
      <c r="AJ850" s="71"/>
      <c r="AK850" s="71"/>
      <c r="AL850" s="71"/>
      <c r="AM850" s="71"/>
      <c r="AN850" s="71"/>
      <c r="AO850" s="71"/>
      <c r="AP850" s="71"/>
      <c r="AQ850" s="71"/>
      <c r="AR850" s="71"/>
    </row>
    <row r="851" ht="15.75" customHeight="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  <c r="AA851" s="71"/>
      <c r="AB851" s="71"/>
      <c r="AC851" s="71"/>
      <c r="AD851" s="71"/>
      <c r="AE851" s="71"/>
      <c r="AF851" s="71"/>
      <c r="AG851" s="71"/>
      <c r="AH851" s="71"/>
      <c r="AI851" s="71"/>
      <c r="AJ851" s="71"/>
      <c r="AK851" s="71"/>
      <c r="AL851" s="71"/>
      <c r="AM851" s="71"/>
      <c r="AN851" s="71"/>
      <c r="AO851" s="71"/>
      <c r="AP851" s="71"/>
      <c r="AQ851" s="71"/>
      <c r="AR851" s="71"/>
    </row>
    <row r="852" ht="15.75" customHeight="1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  <c r="AA852" s="71"/>
      <c r="AB852" s="71"/>
      <c r="AC852" s="71"/>
      <c r="AD852" s="71"/>
      <c r="AE852" s="71"/>
      <c r="AF852" s="71"/>
      <c r="AG852" s="71"/>
      <c r="AH852" s="71"/>
      <c r="AI852" s="71"/>
      <c r="AJ852" s="71"/>
      <c r="AK852" s="71"/>
      <c r="AL852" s="71"/>
      <c r="AM852" s="71"/>
      <c r="AN852" s="71"/>
      <c r="AO852" s="71"/>
      <c r="AP852" s="71"/>
      <c r="AQ852" s="71"/>
      <c r="AR852" s="71"/>
    </row>
    <row r="853" ht="15.75" customHeight="1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  <c r="AA853" s="71"/>
      <c r="AB853" s="71"/>
      <c r="AC853" s="71"/>
      <c r="AD853" s="71"/>
      <c r="AE853" s="71"/>
      <c r="AF853" s="71"/>
      <c r="AG853" s="71"/>
      <c r="AH853" s="71"/>
      <c r="AI853" s="71"/>
      <c r="AJ853" s="71"/>
      <c r="AK853" s="71"/>
      <c r="AL853" s="71"/>
      <c r="AM853" s="71"/>
      <c r="AN853" s="71"/>
      <c r="AO853" s="71"/>
      <c r="AP853" s="71"/>
      <c r="AQ853" s="71"/>
      <c r="AR853" s="71"/>
    </row>
    <row r="854" ht="15.75" customHeight="1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  <c r="AA854" s="71"/>
      <c r="AB854" s="71"/>
      <c r="AC854" s="71"/>
      <c r="AD854" s="71"/>
      <c r="AE854" s="71"/>
      <c r="AF854" s="71"/>
      <c r="AG854" s="71"/>
      <c r="AH854" s="71"/>
      <c r="AI854" s="71"/>
      <c r="AJ854" s="71"/>
      <c r="AK854" s="71"/>
      <c r="AL854" s="71"/>
      <c r="AM854" s="71"/>
      <c r="AN854" s="71"/>
      <c r="AO854" s="71"/>
      <c r="AP854" s="71"/>
      <c r="AQ854" s="71"/>
      <c r="AR854" s="71"/>
    </row>
    <row r="855" ht="15.75" customHeight="1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  <c r="AA855" s="71"/>
      <c r="AB855" s="71"/>
      <c r="AC855" s="71"/>
      <c r="AD855" s="71"/>
      <c r="AE855" s="71"/>
      <c r="AF855" s="71"/>
      <c r="AG855" s="71"/>
      <c r="AH855" s="71"/>
      <c r="AI855" s="71"/>
      <c r="AJ855" s="71"/>
      <c r="AK855" s="71"/>
      <c r="AL855" s="71"/>
      <c r="AM855" s="71"/>
      <c r="AN855" s="71"/>
      <c r="AO855" s="71"/>
      <c r="AP855" s="71"/>
      <c r="AQ855" s="71"/>
      <c r="AR855" s="71"/>
    </row>
    <row r="856" ht="15.75" customHeight="1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  <c r="AA856" s="71"/>
      <c r="AB856" s="71"/>
      <c r="AC856" s="71"/>
      <c r="AD856" s="71"/>
      <c r="AE856" s="71"/>
      <c r="AF856" s="71"/>
      <c r="AG856" s="71"/>
      <c r="AH856" s="71"/>
      <c r="AI856" s="71"/>
      <c r="AJ856" s="71"/>
      <c r="AK856" s="71"/>
      <c r="AL856" s="71"/>
      <c r="AM856" s="71"/>
      <c r="AN856" s="71"/>
      <c r="AO856" s="71"/>
      <c r="AP856" s="71"/>
      <c r="AQ856" s="71"/>
      <c r="AR856" s="71"/>
    </row>
    <row r="857" ht="15.75" customHeight="1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  <c r="AA857" s="71"/>
      <c r="AB857" s="71"/>
      <c r="AC857" s="71"/>
      <c r="AD857" s="71"/>
      <c r="AE857" s="71"/>
      <c r="AF857" s="71"/>
      <c r="AG857" s="71"/>
      <c r="AH857" s="71"/>
      <c r="AI857" s="71"/>
      <c r="AJ857" s="71"/>
      <c r="AK857" s="71"/>
      <c r="AL857" s="71"/>
      <c r="AM857" s="71"/>
      <c r="AN857" s="71"/>
      <c r="AO857" s="71"/>
      <c r="AP857" s="71"/>
      <c r="AQ857" s="71"/>
      <c r="AR857" s="71"/>
    </row>
    <row r="858" ht="15.75" customHeight="1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  <c r="AA858" s="71"/>
      <c r="AB858" s="71"/>
      <c r="AC858" s="71"/>
      <c r="AD858" s="71"/>
      <c r="AE858" s="71"/>
      <c r="AF858" s="71"/>
      <c r="AG858" s="71"/>
      <c r="AH858" s="71"/>
      <c r="AI858" s="71"/>
      <c r="AJ858" s="71"/>
      <c r="AK858" s="71"/>
      <c r="AL858" s="71"/>
      <c r="AM858" s="71"/>
      <c r="AN858" s="71"/>
      <c r="AO858" s="71"/>
      <c r="AP858" s="71"/>
      <c r="AQ858" s="71"/>
      <c r="AR858" s="71"/>
    </row>
    <row r="859" ht="15.75" customHeight="1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  <c r="AA859" s="71"/>
      <c r="AB859" s="71"/>
      <c r="AC859" s="71"/>
      <c r="AD859" s="71"/>
      <c r="AE859" s="71"/>
      <c r="AF859" s="71"/>
      <c r="AG859" s="71"/>
      <c r="AH859" s="71"/>
      <c r="AI859" s="71"/>
      <c r="AJ859" s="71"/>
      <c r="AK859" s="71"/>
      <c r="AL859" s="71"/>
      <c r="AM859" s="71"/>
      <c r="AN859" s="71"/>
      <c r="AO859" s="71"/>
      <c r="AP859" s="71"/>
      <c r="AQ859" s="71"/>
      <c r="AR859" s="71"/>
    </row>
    <row r="860" ht="15.75" customHeight="1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  <c r="AA860" s="71"/>
      <c r="AB860" s="71"/>
      <c r="AC860" s="71"/>
      <c r="AD860" s="71"/>
      <c r="AE860" s="71"/>
      <c r="AF860" s="71"/>
      <c r="AG860" s="71"/>
      <c r="AH860" s="71"/>
      <c r="AI860" s="71"/>
      <c r="AJ860" s="71"/>
      <c r="AK860" s="71"/>
      <c r="AL860" s="71"/>
      <c r="AM860" s="71"/>
      <c r="AN860" s="71"/>
      <c r="AO860" s="71"/>
      <c r="AP860" s="71"/>
      <c r="AQ860" s="71"/>
      <c r="AR860" s="71"/>
    </row>
    <row r="861" ht="15.75" customHeight="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  <c r="AA861" s="71"/>
      <c r="AB861" s="71"/>
      <c r="AC861" s="71"/>
      <c r="AD861" s="71"/>
      <c r="AE861" s="71"/>
      <c r="AF861" s="71"/>
      <c r="AG861" s="71"/>
      <c r="AH861" s="71"/>
      <c r="AI861" s="71"/>
      <c r="AJ861" s="71"/>
      <c r="AK861" s="71"/>
      <c r="AL861" s="71"/>
      <c r="AM861" s="71"/>
      <c r="AN861" s="71"/>
      <c r="AO861" s="71"/>
      <c r="AP861" s="71"/>
      <c r="AQ861" s="71"/>
      <c r="AR861" s="71"/>
    </row>
    <row r="862" ht="15.75" customHeight="1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  <c r="AA862" s="71"/>
      <c r="AB862" s="71"/>
      <c r="AC862" s="71"/>
      <c r="AD862" s="71"/>
      <c r="AE862" s="71"/>
      <c r="AF862" s="71"/>
      <c r="AG862" s="71"/>
      <c r="AH862" s="71"/>
      <c r="AI862" s="71"/>
      <c r="AJ862" s="71"/>
      <c r="AK862" s="71"/>
      <c r="AL862" s="71"/>
      <c r="AM862" s="71"/>
      <c r="AN862" s="71"/>
      <c r="AO862" s="71"/>
      <c r="AP862" s="71"/>
      <c r="AQ862" s="71"/>
      <c r="AR862" s="71"/>
    </row>
    <row r="863" ht="15.75" customHeight="1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  <c r="AA863" s="71"/>
      <c r="AB863" s="71"/>
      <c r="AC863" s="71"/>
      <c r="AD863" s="71"/>
      <c r="AE863" s="71"/>
      <c r="AF863" s="71"/>
      <c r="AG863" s="71"/>
      <c r="AH863" s="71"/>
      <c r="AI863" s="71"/>
      <c r="AJ863" s="71"/>
      <c r="AK863" s="71"/>
      <c r="AL863" s="71"/>
      <c r="AM863" s="71"/>
      <c r="AN863" s="71"/>
      <c r="AO863" s="71"/>
      <c r="AP863" s="71"/>
      <c r="AQ863" s="71"/>
      <c r="AR863" s="71"/>
    </row>
    <row r="864" ht="15.75" customHeight="1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  <c r="AA864" s="71"/>
      <c r="AB864" s="71"/>
      <c r="AC864" s="71"/>
      <c r="AD864" s="71"/>
      <c r="AE864" s="71"/>
      <c r="AF864" s="71"/>
      <c r="AG864" s="71"/>
      <c r="AH864" s="71"/>
      <c r="AI864" s="71"/>
      <c r="AJ864" s="71"/>
      <c r="AK864" s="71"/>
      <c r="AL864" s="71"/>
      <c r="AM864" s="71"/>
      <c r="AN864" s="71"/>
      <c r="AO864" s="71"/>
      <c r="AP864" s="71"/>
      <c r="AQ864" s="71"/>
      <c r="AR864" s="71"/>
    </row>
    <row r="865" ht="15.75" customHeight="1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  <c r="AA865" s="71"/>
      <c r="AB865" s="71"/>
      <c r="AC865" s="71"/>
      <c r="AD865" s="71"/>
      <c r="AE865" s="71"/>
      <c r="AF865" s="71"/>
      <c r="AG865" s="71"/>
      <c r="AH865" s="71"/>
      <c r="AI865" s="71"/>
      <c r="AJ865" s="71"/>
      <c r="AK865" s="71"/>
      <c r="AL865" s="71"/>
      <c r="AM865" s="71"/>
      <c r="AN865" s="71"/>
      <c r="AO865" s="71"/>
      <c r="AP865" s="71"/>
      <c r="AQ865" s="71"/>
      <c r="AR865" s="71"/>
    </row>
    <row r="866" ht="15.75" customHeight="1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  <c r="AA866" s="71"/>
      <c r="AB866" s="71"/>
      <c r="AC866" s="71"/>
      <c r="AD866" s="71"/>
      <c r="AE866" s="71"/>
      <c r="AF866" s="71"/>
      <c r="AG866" s="71"/>
      <c r="AH866" s="71"/>
      <c r="AI866" s="71"/>
      <c r="AJ866" s="71"/>
      <c r="AK866" s="71"/>
      <c r="AL866" s="71"/>
      <c r="AM866" s="71"/>
      <c r="AN866" s="71"/>
      <c r="AO866" s="71"/>
      <c r="AP866" s="71"/>
      <c r="AQ866" s="71"/>
      <c r="AR866" s="71"/>
    </row>
    <row r="867" ht="15.75" customHeight="1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  <c r="AA867" s="71"/>
      <c r="AB867" s="71"/>
      <c r="AC867" s="71"/>
      <c r="AD867" s="71"/>
      <c r="AE867" s="71"/>
      <c r="AF867" s="71"/>
      <c r="AG867" s="71"/>
      <c r="AH867" s="71"/>
      <c r="AI867" s="71"/>
      <c r="AJ867" s="71"/>
      <c r="AK867" s="71"/>
      <c r="AL867" s="71"/>
      <c r="AM867" s="71"/>
      <c r="AN867" s="71"/>
      <c r="AO867" s="71"/>
      <c r="AP867" s="71"/>
      <c r="AQ867" s="71"/>
      <c r="AR867" s="71"/>
    </row>
    <row r="868" ht="15.75" customHeight="1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  <c r="AA868" s="71"/>
      <c r="AB868" s="71"/>
      <c r="AC868" s="71"/>
      <c r="AD868" s="71"/>
      <c r="AE868" s="71"/>
      <c r="AF868" s="71"/>
      <c r="AG868" s="71"/>
      <c r="AH868" s="71"/>
      <c r="AI868" s="71"/>
      <c r="AJ868" s="71"/>
      <c r="AK868" s="71"/>
      <c r="AL868" s="71"/>
      <c r="AM868" s="71"/>
      <c r="AN868" s="71"/>
      <c r="AO868" s="71"/>
      <c r="AP868" s="71"/>
      <c r="AQ868" s="71"/>
      <c r="AR868" s="71"/>
    </row>
    <row r="869" ht="15.75" customHeight="1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  <c r="AA869" s="71"/>
      <c r="AB869" s="71"/>
      <c r="AC869" s="71"/>
      <c r="AD869" s="71"/>
      <c r="AE869" s="71"/>
      <c r="AF869" s="71"/>
      <c r="AG869" s="71"/>
      <c r="AH869" s="71"/>
      <c r="AI869" s="71"/>
      <c r="AJ869" s="71"/>
      <c r="AK869" s="71"/>
      <c r="AL869" s="71"/>
      <c r="AM869" s="71"/>
      <c r="AN869" s="71"/>
      <c r="AO869" s="71"/>
      <c r="AP869" s="71"/>
      <c r="AQ869" s="71"/>
      <c r="AR869" s="71"/>
    </row>
    <row r="870" ht="15.75" customHeight="1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  <c r="AA870" s="71"/>
      <c r="AB870" s="71"/>
      <c r="AC870" s="71"/>
      <c r="AD870" s="71"/>
      <c r="AE870" s="71"/>
      <c r="AF870" s="71"/>
      <c r="AG870" s="71"/>
      <c r="AH870" s="71"/>
      <c r="AI870" s="71"/>
      <c r="AJ870" s="71"/>
      <c r="AK870" s="71"/>
      <c r="AL870" s="71"/>
      <c r="AM870" s="71"/>
      <c r="AN870" s="71"/>
      <c r="AO870" s="71"/>
      <c r="AP870" s="71"/>
      <c r="AQ870" s="71"/>
      <c r="AR870" s="71"/>
    </row>
    <row r="871" ht="15.75" customHeight="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  <c r="AA871" s="71"/>
      <c r="AB871" s="71"/>
      <c r="AC871" s="71"/>
      <c r="AD871" s="71"/>
      <c r="AE871" s="71"/>
      <c r="AF871" s="71"/>
      <c r="AG871" s="71"/>
      <c r="AH871" s="71"/>
      <c r="AI871" s="71"/>
      <c r="AJ871" s="71"/>
      <c r="AK871" s="71"/>
      <c r="AL871" s="71"/>
      <c r="AM871" s="71"/>
      <c r="AN871" s="71"/>
      <c r="AO871" s="71"/>
      <c r="AP871" s="71"/>
      <c r="AQ871" s="71"/>
      <c r="AR871" s="71"/>
    </row>
    <row r="872" ht="15.75" customHeight="1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  <c r="AA872" s="71"/>
      <c r="AB872" s="71"/>
      <c r="AC872" s="71"/>
      <c r="AD872" s="71"/>
      <c r="AE872" s="71"/>
      <c r="AF872" s="71"/>
      <c r="AG872" s="71"/>
      <c r="AH872" s="71"/>
      <c r="AI872" s="71"/>
      <c r="AJ872" s="71"/>
      <c r="AK872" s="71"/>
      <c r="AL872" s="71"/>
      <c r="AM872" s="71"/>
      <c r="AN872" s="71"/>
      <c r="AO872" s="71"/>
      <c r="AP872" s="71"/>
      <c r="AQ872" s="71"/>
      <c r="AR872" s="71"/>
    </row>
    <row r="873" ht="15.75" customHeight="1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  <c r="AA873" s="71"/>
      <c r="AB873" s="71"/>
      <c r="AC873" s="71"/>
      <c r="AD873" s="71"/>
      <c r="AE873" s="71"/>
      <c r="AF873" s="71"/>
      <c r="AG873" s="71"/>
      <c r="AH873" s="71"/>
      <c r="AI873" s="71"/>
      <c r="AJ873" s="71"/>
      <c r="AK873" s="71"/>
      <c r="AL873" s="71"/>
      <c r="AM873" s="71"/>
      <c r="AN873" s="71"/>
      <c r="AO873" s="71"/>
      <c r="AP873" s="71"/>
      <c r="AQ873" s="71"/>
      <c r="AR873" s="71"/>
    </row>
    <row r="874" ht="15.75" customHeight="1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  <c r="AA874" s="71"/>
      <c r="AB874" s="71"/>
      <c r="AC874" s="71"/>
      <c r="AD874" s="71"/>
      <c r="AE874" s="71"/>
      <c r="AF874" s="71"/>
      <c r="AG874" s="71"/>
      <c r="AH874" s="71"/>
      <c r="AI874" s="71"/>
      <c r="AJ874" s="71"/>
      <c r="AK874" s="71"/>
      <c r="AL874" s="71"/>
      <c r="AM874" s="71"/>
      <c r="AN874" s="71"/>
      <c r="AO874" s="71"/>
      <c r="AP874" s="71"/>
      <c r="AQ874" s="71"/>
      <c r="AR874" s="71"/>
    </row>
    <row r="875" ht="15.75" customHeight="1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  <c r="AA875" s="71"/>
      <c r="AB875" s="71"/>
      <c r="AC875" s="71"/>
      <c r="AD875" s="71"/>
      <c r="AE875" s="71"/>
      <c r="AF875" s="71"/>
      <c r="AG875" s="71"/>
      <c r="AH875" s="71"/>
      <c r="AI875" s="71"/>
      <c r="AJ875" s="71"/>
      <c r="AK875" s="71"/>
      <c r="AL875" s="71"/>
      <c r="AM875" s="71"/>
      <c r="AN875" s="71"/>
      <c r="AO875" s="71"/>
      <c r="AP875" s="71"/>
      <c r="AQ875" s="71"/>
      <c r="AR875" s="71"/>
    </row>
    <row r="876" ht="15.75" customHeight="1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  <c r="AA876" s="71"/>
      <c r="AB876" s="71"/>
      <c r="AC876" s="71"/>
      <c r="AD876" s="71"/>
      <c r="AE876" s="71"/>
      <c r="AF876" s="71"/>
      <c r="AG876" s="71"/>
      <c r="AH876" s="71"/>
      <c r="AI876" s="71"/>
      <c r="AJ876" s="71"/>
      <c r="AK876" s="71"/>
      <c r="AL876" s="71"/>
      <c r="AM876" s="71"/>
      <c r="AN876" s="71"/>
      <c r="AO876" s="71"/>
      <c r="AP876" s="71"/>
      <c r="AQ876" s="71"/>
      <c r="AR876" s="71"/>
    </row>
    <row r="877" ht="15.75" customHeight="1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  <c r="AI877" s="71"/>
      <c r="AJ877" s="71"/>
      <c r="AK877" s="71"/>
      <c r="AL877" s="71"/>
      <c r="AM877" s="71"/>
      <c r="AN877" s="71"/>
      <c r="AO877" s="71"/>
      <c r="AP877" s="71"/>
      <c r="AQ877" s="71"/>
      <c r="AR877" s="71"/>
    </row>
    <row r="878" ht="15.75" customHeight="1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  <c r="AA878" s="71"/>
      <c r="AB878" s="71"/>
      <c r="AC878" s="71"/>
      <c r="AD878" s="71"/>
      <c r="AE878" s="71"/>
      <c r="AF878" s="71"/>
      <c r="AG878" s="71"/>
      <c r="AH878" s="71"/>
      <c r="AI878" s="71"/>
      <c r="AJ878" s="71"/>
      <c r="AK878" s="71"/>
      <c r="AL878" s="71"/>
      <c r="AM878" s="71"/>
      <c r="AN878" s="71"/>
      <c r="AO878" s="71"/>
      <c r="AP878" s="71"/>
      <c r="AQ878" s="71"/>
      <c r="AR878" s="71"/>
    </row>
    <row r="879" ht="15.75" customHeight="1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  <c r="AI879" s="71"/>
      <c r="AJ879" s="71"/>
      <c r="AK879" s="71"/>
      <c r="AL879" s="71"/>
      <c r="AM879" s="71"/>
      <c r="AN879" s="71"/>
      <c r="AO879" s="71"/>
      <c r="AP879" s="71"/>
      <c r="AQ879" s="71"/>
      <c r="AR879" s="71"/>
    </row>
    <row r="880" ht="15.75" customHeight="1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  <c r="AA880" s="71"/>
      <c r="AB880" s="71"/>
      <c r="AC880" s="71"/>
      <c r="AD880" s="71"/>
      <c r="AE880" s="71"/>
      <c r="AF880" s="71"/>
      <c r="AG880" s="71"/>
      <c r="AH880" s="71"/>
      <c r="AI880" s="71"/>
      <c r="AJ880" s="71"/>
      <c r="AK880" s="71"/>
      <c r="AL880" s="71"/>
      <c r="AM880" s="71"/>
      <c r="AN880" s="71"/>
      <c r="AO880" s="71"/>
      <c r="AP880" s="71"/>
      <c r="AQ880" s="71"/>
      <c r="AR880" s="71"/>
    </row>
    <row r="881" ht="15.75" customHeight="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  <c r="AA881" s="71"/>
      <c r="AB881" s="71"/>
      <c r="AC881" s="71"/>
      <c r="AD881" s="71"/>
      <c r="AE881" s="71"/>
      <c r="AF881" s="71"/>
      <c r="AG881" s="71"/>
      <c r="AH881" s="71"/>
      <c r="AI881" s="71"/>
      <c r="AJ881" s="71"/>
      <c r="AK881" s="71"/>
      <c r="AL881" s="71"/>
      <c r="AM881" s="71"/>
      <c r="AN881" s="71"/>
      <c r="AO881" s="71"/>
      <c r="AP881" s="71"/>
      <c r="AQ881" s="71"/>
      <c r="AR881" s="71"/>
    </row>
    <row r="882" ht="15.75" customHeight="1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  <c r="AA882" s="71"/>
      <c r="AB882" s="71"/>
      <c r="AC882" s="71"/>
      <c r="AD882" s="71"/>
      <c r="AE882" s="71"/>
      <c r="AF882" s="71"/>
      <c r="AG882" s="71"/>
      <c r="AH882" s="71"/>
      <c r="AI882" s="71"/>
      <c r="AJ882" s="71"/>
      <c r="AK882" s="71"/>
      <c r="AL882" s="71"/>
      <c r="AM882" s="71"/>
      <c r="AN882" s="71"/>
      <c r="AO882" s="71"/>
      <c r="AP882" s="71"/>
      <c r="AQ882" s="71"/>
      <c r="AR882" s="71"/>
    </row>
    <row r="883" ht="15.75" customHeight="1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  <c r="AA883" s="71"/>
      <c r="AB883" s="71"/>
      <c r="AC883" s="71"/>
      <c r="AD883" s="71"/>
      <c r="AE883" s="71"/>
      <c r="AF883" s="71"/>
      <c r="AG883" s="71"/>
      <c r="AH883" s="71"/>
      <c r="AI883" s="71"/>
      <c r="AJ883" s="71"/>
      <c r="AK883" s="71"/>
      <c r="AL883" s="71"/>
      <c r="AM883" s="71"/>
      <c r="AN883" s="71"/>
      <c r="AO883" s="71"/>
      <c r="AP883" s="71"/>
      <c r="AQ883" s="71"/>
      <c r="AR883" s="71"/>
    </row>
    <row r="884" ht="15.75" customHeight="1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  <c r="AA884" s="71"/>
      <c r="AB884" s="71"/>
      <c r="AC884" s="71"/>
      <c r="AD884" s="71"/>
      <c r="AE884" s="71"/>
      <c r="AF884" s="71"/>
      <c r="AG884" s="71"/>
      <c r="AH884" s="71"/>
      <c r="AI884" s="71"/>
      <c r="AJ884" s="71"/>
      <c r="AK884" s="71"/>
      <c r="AL884" s="71"/>
      <c r="AM884" s="71"/>
      <c r="AN884" s="71"/>
      <c r="AO884" s="71"/>
      <c r="AP884" s="71"/>
      <c r="AQ884" s="71"/>
      <c r="AR884" s="71"/>
    </row>
    <row r="885" ht="15.75" customHeight="1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  <c r="AA885" s="71"/>
      <c r="AB885" s="71"/>
      <c r="AC885" s="71"/>
      <c r="AD885" s="71"/>
      <c r="AE885" s="71"/>
      <c r="AF885" s="71"/>
      <c r="AG885" s="71"/>
      <c r="AH885" s="71"/>
      <c r="AI885" s="71"/>
      <c r="AJ885" s="71"/>
      <c r="AK885" s="71"/>
      <c r="AL885" s="71"/>
      <c r="AM885" s="71"/>
      <c r="AN885" s="71"/>
      <c r="AO885" s="71"/>
      <c r="AP885" s="71"/>
      <c r="AQ885" s="71"/>
      <c r="AR885" s="71"/>
    </row>
    <row r="886" ht="15.75" customHeight="1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  <c r="AA886" s="71"/>
      <c r="AB886" s="71"/>
      <c r="AC886" s="71"/>
      <c r="AD886" s="71"/>
      <c r="AE886" s="71"/>
      <c r="AF886" s="71"/>
      <c r="AG886" s="71"/>
      <c r="AH886" s="71"/>
      <c r="AI886" s="71"/>
      <c r="AJ886" s="71"/>
      <c r="AK886" s="71"/>
      <c r="AL886" s="71"/>
      <c r="AM886" s="71"/>
      <c r="AN886" s="71"/>
      <c r="AO886" s="71"/>
      <c r="AP886" s="71"/>
      <c r="AQ886" s="71"/>
      <c r="AR886" s="71"/>
    </row>
    <row r="887" ht="15.75" customHeight="1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  <c r="AA887" s="71"/>
      <c r="AB887" s="71"/>
      <c r="AC887" s="71"/>
      <c r="AD887" s="71"/>
      <c r="AE887" s="71"/>
      <c r="AF887" s="71"/>
      <c r="AG887" s="71"/>
      <c r="AH887" s="71"/>
      <c r="AI887" s="71"/>
      <c r="AJ887" s="71"/>
      <c r="AK887" s="71"/>
      <c r="AL887" s="71"/>
      <c r="AM887" s="71"/>
      <c r="AN887" s="71"/>
      <c r="AO887" s="71"/>
      <c r="AP887" s="71"/>
      <c r="AQ887" s="71"/>
      <c r="AR887" s="71"/>
    </row>
    <row r="888" ht="15.75" customHeight="1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  <c r="AA888" s="71"/>
      <c r="AB888" s="71"/>
      <c r="AC888" s="71"/>
      <c r="AD888" s="71"/>
      <c r="AE888" s="71"/>
      <c r="AF888" s="71"/>
      <c r="AG888" s="71"/>
      <c r="AH888" s="71"/>
      <c r="AI888" s="71"/>
      <c r="AJ888" s="71"/>
      <c r="AK888" s="71"/>
      <c r="AL888" s="71"/>
      <c r="AM888" s="71"/>
      <c r="AN888" s="71"/>
      <c r="AO888" s="71"/>
      <c r="AP888" s="71"/>
      <c r="AQ888" s="71"/>
      <c r="AR888" s="71"/>
    </row>
    <row r="889" ht="15.75" customHeight="1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  <c r="AA889" s="71"/>
      <c r="AB889" s="71"/>
      <c r="AC889" s="71"/>
      <c r="AD889" s="71"/>
      <c r="AE889" s="71"/>
      <c r="AF889" s="71"/>
      <c r="AG889" s="71"/>
      <c r="AH889" s="71"/>
      <c r="AI889" s="71"/>
      <c r="AJ889" s="71"/>
      <c r="AK889" s="71"/>
      <c r="AL889" s="71"/>
      <c r="AM889" s="71"/>
      <c r="AN889" s="71"/>
      <c r="AO889" s="71"/>
      <c r="AP889" s="71"/>
      <c r="AQ889" s="71"/>
      <c r="AR889" s="71"/>
    </row>
    <row r="890" ht="15.75" customHeight="1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  <c r="AA890" s="71"/>
      <c r="AB890" s="71"/>
      <c r="AC890" s="71"/>
      <c r="AD890" s="71"/>
      <c r="AE890" s="71"/>
      <c r="AF890" s="71"/>
      <c r="AG890" s="71"/>
      <c r="AH890" s="71"/>
      <c r="AI890" s="71"/>
      <c r="AJ890" s="71"/>
      <c r="AK890" s="71"/>
      <c r="AL890" s="71"/>
      <c r="AM890" s="71"/>
      <c r="AN890" s="71"/>
      <c r="AO890" s="71"/>
      <c r="AP890" s="71"/>
      <c r="AQ890" s="71"/>
      <c r="AR890" s="71"/>
    </row>
    <row r="891" ht="15.75" customHeight="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  <c r="AA891" s="71"/>
      <c r="AB891" s="71"/>
      <c r="AC891" s="71"/>
      <c r="AD891" s="71"/>
      <c r="AE891" s="71"/>
      <c r="AF891" s="71"/>
      <c r="AG891" s="71"/>
      <c r="AH891" s="71"/>
      <c r="AI891" s="71"/>
      <c r="AJ891" s="71"/>
      <c r="AK891" s="71"/>
      <c r="AL891" s="71"/>
      <c r="AM891" s="71"/>
      <c r="AN891" s="71"/>
      <c r="AO891" s="71"/>
      <c r="AP891" s="71"/>
      <c r="AQ891" s="71"/>
      <c r="AR891" s="71"/>
    </row>
    <row r="892" ht="15.75" customHeight="1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  <c r="AA892" s="71"/>
      <c r="AB892" s="71"/>
      <c r="AC892" s="71"/>
      <c r="AD892" s="71"/>
      <c r="AE892" s="71"/>
      <c r="AF892" s="71"/>
      <c r="AG892" s="71"/>
      <c r="AH892" s="71"/>
      <c r="AI892" s="71"/>
      <c r="AJ892" s="71"/>
      <c r="AK892" s="71"/>
      <c r="AL892" s="71"/>
      <c r="AM892" s="71"/>
      <c r="AN892" s="71"/>
      <c r="AO892" s="71"/>
      <c r="AP892" s="71"/>
      <c r="AQ892" s="71"/>
      <c r="AR892" s="71"/>
    </row>
    <row r="893" ht="15.75" customHeight="1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  <c r="AA893" s="71"/>
      <c r="AB893" s="71"/>
      <c r="AC893" s="71"/>
      <c r="AD893" s="71"/>
      <c r="AE893" s="71"/>
      <c r="AF893" s="71"/>
      <c r="AG893" s="71"/>
      <c r="AH893" s="71"/>
      <c r="AI893" s="71"/>
      <c r="AJ893" s="71"/>
      <c r="AK893" s="71"/>
      <c r="AL893" s="71"/>
      <c r="AM893" s="71"/>
      <c r="AN893" s="71"/>
      <c r="AO893" s="71"/>
      <c r="AP893" s="71"/>
      <c r="AQ893" s="71"/>
      <c r="AR893" s="71"/>
    </row>
    <row r="894" ht="15.75" customHeight="1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  <c r="AA894" s="71"/>
      <c r="AB894" s="71"/>
      <c r="AC894" s="71"/>
      <c r="AD894" s="71"/>
      <c r="AE894" s="71"/>
      <c r="AF894" s="71"/>
      <c r="AG894" s="71"/>
      <c r="AH894" s="71"/>
      <c r="AI894" s="71"/>
      <c r="AJ894" s="71"/>
      <c r="AK894" s="71"/>
      <c r="AL894" s="71"/>
      <c r="AM894" s="71"/>
      <c r="AN894" s="71"/>
      <c r="AO894" s="71"/>
      <c r="AP894" s="71"/>
      <c r="AQ894" s="71"/>
      <c r="AR894" s="71"/>
    </row>
    <row r="895" ht="15.75" customHeight="1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  <c r="AA895" s="71"/>
      <c r="AB895" s="71"/>
      <c r="AC895" s="71"/>
      <c r="AD895" s="71"/>
      <c r="AE895" s="71"/>
      <c r="AF895" s="71"/>
      <c r="AG895" s="71"/>
      <c r="AH895" s="71"/>
      <c r="AI895" s="71"/>
      <c r="AJ895" s="71"/>
      <c r="AK895" s="71"/>
      <c r="AL895" s="71"/>
      <c r="AM895" s="71"/>
      <c r="AN895" s="71"/>
      <c r="AO895" s="71"/>
      <c r="AP895" s="71"/>
      <c r="AQ895" s="71"/>
      <c r="AR895" s="71"/>
    </row>
    <row r="896" ht="15.75" customHeight="1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  <c r="AA896" s="71"/>
      <c r="AB896" s="71"/>
      <c r="AC896" s="71"/>
      <c r="AD896" s="71"/>
      <c r="AE896" s="71"/>
      <c r="AF896" s="71"/>
      <c r="AG896" s="71"/>
      <c r="AH896" s="71"/>
      <c r="AI896" s="71"/>
      <c r="AJ896" s="71"/>
      <c r="AK896" s="71"/>
      <c r="AL896" s="71"/>
      <c r="AM896" s="71"/>
      <c r="AN896" s="71"/>
      <c r="AO896" s="71"/>
      <c r="AP896" s="71"/>
      <c r="AQ896" s="71"/>
      <c r="AR896" s="71"/>
    </row>
    <row r="897" ht="15.75" customHeight="1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  <c r="AA897" s="71"/>
      <c r="AB897" s="71"/>
      <c r="AC897" s="71"/>
      <c r="AD897" s="71"/>
      <c r="AE897" s="71"/>
      <c r="AF897" s="71"/>
      <c r="AG897" s="71"/>
      <c r="AH897" s="71"/>
      <c r="AI897" s="71"/>
      <c r="AJ897" s="71"/>
      <c r="AK897" s="71"/>
      <c r="AL897" s="71"/>
      <c r="AM897" s="71"/>
      <c r="AN897" s="71"/>
      <c r="AO897" s="71"/>
      <c r="AP897" s="71"/>
      <c r="AQ897" s="71"/>
      <c r="AR897" s="71"/>
    </row>
    <row r="898" ht="15.75" customHeight="1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  <c r="AA898" s="71"/>
      <c r="AB898" s="71"/>
      <c r="AC898" s="71"/>
      <c r="AD898" s="71"/>
      <c r="AE898" s="71"/>
      <c r="AF898" s="71"/>
      <c r="AG898" s="71"/>
      <c r="AH898" s="71"/>
      <c r="AI898" s="71"/>
      <c r="AJ898" s="71"/>
      <c r="AK898" s="71"/>
      <c r="AL898" s="71"/>
      <c r="AM898" s="71"/>
      <c r="AN898" s="71"/>
      <c r="AO898" s="71"/>
      <c r="AP898" s="71"/>
      <c r="AQ898" s="71"/>
      <c r="AR898" s="71"/>
    </row>
    <row r="899" ht="15.75" customHeight="1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  <c r="AA899" s="71"/>
      <c r="AB899" s="71"/>
      <c r="AC899" s="71"/>
      <c r="AD899" s="71"/>
      <c r="AE899" s="71"/>
      <c r="AF899" s="71"/>
      <c r="AG899" s="71"/>
      <c r="AH899" s="71"/>
      <c r="AI899" s="71"/>
      <c r="AJ899" s="71"/>
      <c r="AK899" s="71"/>
      <c r="AL899" s="71"/>
      <c r="AM899" s="71"/>
      <c r="AN899" s="71"/>
      <c r="AO899" s="71"/>
      <c r="AP899" s="71"/>
      <c r="AQ899" s="71"/>
      <c r="AR899" s="71"/>
    </row>
    <row r="900" ht="15.75" customHeight="1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  <c r="AA900" s="71"/>
      <c r="AB900" s="71"/>
      <c r="AC900" s="71"/>
      <c r="AD900" s="71"/>
      <c r="AE900" s="71"/>
      <c r="AF900" s="71"/>
      <c r="AG900" s="71"/>
      <c r="AH900" s="71"/>
      <c r="AI900" s="71"/>
      <c r="AJ900" s="71"/>
      <c r="AK900" s="71"/>
      <c r="AL900" s="71"/>
      <c r="AM900" s="71"/>
      <c r="AN900" s="71"/>
      <c r="AO900" s="71"/>
      <c r="AP900" s="71"/>
      <c r="AQ900" s="71"/>
      <c r="AR900" s="71"/>
    </row>
    <row r="901" ht="15.75" customHeight="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  <c r="AA901" s="71"/>
      <c r="AB901" s="71"/>
      <c r="AC901" s="71"/>
      <c r="AD901" s="71"/>
      <c r="AE901" s="71"/>
      <c r="AF901" s="71"/>
      <c r="AG901" s="71"/>
      <c r="AH901" s="71"/>
      <c r="AI901" s="71"/>
      <c r="AJ901" s="71"/>
      <c r="AK901" s="71"/>
      <c r="AL901" s="71"/>
      <c r="AM901" s="71"/>
      <c r="AN901" s="71"/>
      <c r="AO901" s="71"/>
      <c r="AP901" s="71"/>
      <c r="AQ901" s="71"/>
      <c r="AR901" s="71"/>
    </row>
    <row r="902" ht="15.75" customHeight="1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  <c r="AA902" s="71"/>
      <c r="AB902" s="71"/>
      <c r="AC902" s="71"/>
      <c r="AD902" s="71"/>
      <c r="AE902" s="71"/>
      <c r="AF902" s="71"/>
      <c r="AG902" s="71"/>
      <c r="AH902" s="71"/>
      <c r="AI902" s="71"/>
      <c r="AJ902" s="71"/>
      <c r="AK902" s="71"/>
      <c r="AL902" s="71"/>
      <c r="AM902" s="71"/>
      <c r="AN902" s="71"/>
      <c r="AO902" s="71"/>
      <c r="AP902" s="71"/>
      <c r="AQ902" s="71"/>
      <c r="AR902" s="71"/>
    </row>
    <row r="903" ht="15.75" customHeight="1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  <c r="AA903" s="71"/>
      <c r="AB903" s="71"/>
      <c r="AC903" s="71"/>
      <c r="AD903" s="71"/>
      <c r="AE903" s="71"/>
      <c r="AF903" s="71"/>
      <c r="AG903" s="71"/>
      <c r="AH903" s="71"/>
      <c r="AI903" s="71"/>
      <c r="AJ903" s="71"/>
      <c r="AK903" s="71"/>
      <c r="AL903" s="71"/>
      <c r="AM903" s="71"/>
      <c r="AN903" s="71"/>
      <c r="AO903" s="71"/>
      <c r="AP903" s="71"/>
      <c r="AQ903" s="71"/>
      <c r="AR903" s="71"/>
    </row>
    <row r="904" ht="15.75" customHeight="1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  <c r="AA904" s="71"/>
      <c r="AB904" s="71"/>
      <c r="AC904" s="71"/>
      <c r="AD904" s="71"/>
      <c r="AE904" s="71"/>
      <c r="AF904" s="71"/>
      <c r="AG904" s="71"/>
      <c r="AH904" s="71"/>
      <c r="AI904" s="71"/>
      <c r="AJ904" s="71"/>
      <c r="AK904" s="71"/>
      <c r="AL904" s="71"/>
      <c r="AM904" s="71"/>
      <c r="AN904" s="71"/>
      <c r="AO904" s="71"/>
      <c r="AP904" s="71"/>
      <c r="AQ904" s="71"/>
      <c r="AR904" s="71"/>
    </row>
    <row r="905" ht="15.75" customHeight="1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  <c r="AA905" s="71"/>
      <c r="AB905" s="71"/>
      <c r="AC905" s="71"/>
      <c r="AD905" s="71"/>
      <c r="AE905" s="71"/>
      <c r="AF905" s="71"/>
      <c r="AG905" s="71"/>
      <c r="AH905" s="71"/>
      <c r="AI905" s="71"/>
      <c r="AJ905" s="71"/>
      <c r="AK905" s="71"/>
      <c r="AL905" s="71"/>
      <c r="AM905" s="71"/>
      <c r="AN905" s="71"/>
      <c r="AO905" s="71"/>
      <c r="AP905" s="71"/>
      <c r="AQ905" s="71"/>
      <c r="AR905" s="71"/>
    </row>
    <row r="906" ht="15.75" customHeight="1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  <c r="AA906" s="71"/>
      <c r="AB906" s="71"/>
      <c r="AC906" s="71"/>
      <c r="AD906" s="71"/>
      <c r="AE906" s="71"/>
      <c r="AF906" s="71"/>
      <c r="AG906" s="71"/>
      <c r="AH906" s="71"/>
      <c r="AI906" s="71"/>
      <c r="AJ906" s="71"/>
      <c r="AK906" s="71"/>
      <c r="AL906" s="71"/>
      <c r="AM906" s="71"/>
      <c r="AN906" s="71"/>
      <c r="AO906" s="71"/>
      <c r="AP906" s="71"/>
      <c r="AQ906" s="71"/>
      <c r="AR906" s="71"/>
    </row>
    <row r="907" ht="15.75" customHeight="1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  <c r="AA907" s="71"/>
      <c r="AB907" s="71"/>
      <c r="AC907" s="71"/>
      <c r="AD907" s="71"/>
      <c r="AE907" s="71"/>
      <c r="AF907" s="71"/>
      <c r="AG907" s="71"/>
      <c r="AH907" s="71"/>
      <c r="AI907" s="71"/>
      <c r="AJ907" s="71"/>
      <c r="AK907" s="71"/>
      <c r="AL907" s="71"/>
      <c r="AM907" s="71"/>
      <c r="AN907" s="71"/>
      <c r="AO907" s="71"/>
      <c r="AP907" s="71"/>
      <c r="AQ907" s="71"/>
      <c r="AR907" s="71"/>
    </row>
    <row r="908" ht="15.75" customHeight="1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  <c r="AA908" s="71"/>
      <c r="AB908" s="71"/>
      <c r="AC908" s="71"/>
      <c r="AD908" s="71"/>
      <c r="AE908" s="71"/>
      <c r="AF908" s="71"/>
      <c r="AG908" s="71"/>
      <c r="AH908" s="71"/>
      <c r="AI908" s="71"/>
      <c r="AJ908" s="71"/>
      <c r="AK908" s="71"/>
      <c r="AL908" s="71"/>
      <c r="AM908" s="71"/>
      <c r="AN908" s="71"/>
      <c r="AO908" s="71"/>
      <c r="AP908" s="71"/>
      <c r="AQ908" s="71"/>
      <c r="AR908" s="71"/>
    </row>
    <row r="909" ht="15.75" customHeight="1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  <c r="AA909" s="71"/>
      <c r="AB909" s="71"/>
      <c r="AC909" s="71"/>
      <c r="AD909" s="71"/>
      <c r="AE909" s="71"/>
      <c r="AF909" s="71"/>
      <c r="AG909" s="71"/>
      <c r="AH909" s="71"/>
      <c r="AI909" s="71"/>
      <c r="AJ909" s="71"/>
      <c r="AK909" s="71"/>
      <c r="AL909" s="71"/>
      <c r="AM909" s="71"/>
      <c r="AN909" s="71"/>
      <c r="AO909" s="71"/>
      <c r="AP909" s="71"/>
      <c r="AQ909" s="71"/>
      <c r="AR909" s="71"/>
    </row>
    <row r="910" ht="15.75" customHeight="1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  <c r="AA910" s="71"/>
      <c r="AB910" s="71"/>
      <c r="AC910" s="71"/>
      <c r="AD910" s="71"/>
      <c r="AE910" s="71"/>
      <c r="AF910" s="71"/>
      <c r="AG910" s="71"/>
      <c r="AH910" s="71"/>
      <c r="AI910" s="71"/>
      <c r="AJ910" s="71"/>
      <c r="AK910" s="71"/>
      <c r="AL910" s="71"/>
      <c r="AM910" s="71"/>
      <c r="AN910" s="71"/>
      <c r="AO910" s="71"/>
      <c r="AP910" s="71"/>
      <c r="AQ910" s="71"/>
      <c r="AR910" s="71"/>
    </row>
    <row r="911" ht="15.75" customHeight="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  <c r="AL911" s="71"/>
      <c r="AM911" s="71"/>
      <c r="AN911" s="71"/>
      <c r="AO911" s="71"/>
      <c r="AP911" s="71"/>
      <c r="AQ911" s="71"/>
      <c r="AR911" s="71"/>
    </row>
    <row r="912" ht="15.75" customHeight="1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  <c r="AA912" s="71"/>
      <c r="AB912" s="71"/>
      <c r="AC912" s="71"/>
      <c r="AD912" s="71"/>
      <c r="AE912" s="71"/>
      <c r="AF912" s="71"/>
      <c r="AG912" s="71"/>
      <c r="AH912" s="71"/>
      <c r="AI912" s="71"/>
      <c r="AJ912" s="71"/>
      <c r="AK912" s="71"/>
      <c r="AL912" s="71"/>
      <c r="AM912" s="71"/>
      <c r="AN912" s="71"/>
      <c r="AO912" s="71"/>
      <c r="AP912" s="71"/>
      <c r="AQ912" s="71"/>
      <c r="AR912" s="71"/>
    </row>
    <row r="913" ht="15.75" customHeight="1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  <c r="AL913" s="71"/>
      <c r="AM913" s="71"/>
      <c r="AN913" s="71"/>
      <c r="AO913" s="71"/>
      <c r="AP913" s="71"/>
      <c r="AQ913" s="71"/>
      <c r="AR913" s="71"/>
    </row>
    <row r="914" ht="15.75" customHeight="1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  <c r="AA914" s="71"/>
      <c r="AB914" s="71"/>
      <c r="AC914" s="71"/>
      <c r="AD914" s="71"/>
      <c r="AE914" s="71"/>
      <c r="AF914" s="71"/>
      <c r="AG914" s="71"/>
      <c r="AH914" s="71"/>
      <c r="AI914" s="71"/>
      <c r="AJ914" s="71"/>
      <c r="AK914" s="71"/>
      <c r="AL914" s="71"/>
      <c r="AM914" s="71"/>
      <c r="AN914" s="71"/>
      <c r="AO914" s="71"/>
      <c r="AP914" s="71"/>
      <c r="AQ914" s="71"/>
      <c r="AR914" s="71"/>
    </row>
    <row r="915" ht="15.75" customHeight="1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  <c r="AA915" s="71"/>
      <c r="AB915" s="71"/>
      <c r="AC915" s="71"/>
      <c r="AD915" s="71"/>
      <c r="AE915" s="71"/>
      <c r="AF915" s="71"/>
      <c r="AG915" s="71"/>
      <c r="AH915" s="71"/>
      <c r="AI915" s="71"/>
      <c r="AJ915" s="71"/>
      <c r="AK915" s="71"/>
      <c r="AL915" s="71"/>
      <c r="AM915" s="71"/>
      <c r="AN915" s="71"/>
      <c r="AO915" s="71"/>
      <c r="AP915" s="71"/>
      <c r="AQ915" s="71"/>
      <c r="AR915" s="71"/>
    </row>
    <row r="916" ht="15.75" customHeight="1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  <c r="AA916" s="71"/>
      <c r="AB916" s="71"/>
      <c r="AC916" s="71"/>
      <c r="AD916" s="71"/>
      <c r="AE916" s="71"/>
      <c r="AF916" s="71"/>
      <c r="AG916" s="71"/>
      <c r="AH916" s="71"/>
      <c r="AI916" s="71"/>
      <c r="AJ916" s="71"/>
      <c r="AK916" s="71"/>
      <c r="AL916" s="71"/>
      <c r="AM916" s="71"/>
      <c r="AN916" s="71"/>
      <c r="AO916" s="71"/>
      <c r="AP916" s="71"/>
      <c r="AQ916" s="71"/>
      <c r="AR916" s="71"/>
    </row>
    <row r="917" ht="15.75" customHeight="1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  <c r="AA917" s="71"/>
      <c r="AB917" s="71"/>
      <c r="AC917" s="71"/>
      <c r="AD917" s="71"/>
      <c r="AE917" s="71"/>
      <c r="AF917" s="71"/>
      <c r="AG917" s="71"/>
      <c r="AH917" s="71"/>
      <c r="AI917" s="71"/>
      <c r="AJ917" s="71"/>
      <c r="AK917" s="71"/>
      <c r="AL917" s="71"/>
      <c r="AM917" s="71"/>
      <c r="AN917" s="71"/>
      <c r="AO917" s="71"/>
      <c r="AP917" s="71"/>
      <c r="AQ917" s="71"/>
      <c r="AR917" s="71"/>
    </row>
    <row r="918" ht="15.75" customHeight="1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  <c r="AA918" s="71"/>
      <c r="AB918" s="71"/>
      <c r="AC918" s="71"/>
      <c r="AD918" s="71"/>
      <c r="AE918" s="71"/>
      <c r="AF918" s="71"/>
      <c r="AG918" s="71"/>
      <c r="AH918" s="71"/>
      <c r="AI918" s="71"/>
      <c r="AJ918" s="71"/>
      <c r="AK918" s="71"/>
      <c r="AL918" s="71"/>
      <c r="AM918" s="71"/>
      <c r="AN918" s="71"/>
      <c r="AO918" s="71"/>
      <c r="AP918" s="71"/>
      <c r="AQ918" s="71"/>
      <c r="AR918" s="71"/>
    </row>
    <row r="919" ht="15.75" customHeight="1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  <c r="AA919" s="71"/>
      <c r="AB919" s="71"/>
      <c r="AC919" s="71"/>
      <c r="AD919" s="71"/>
      <c r="AE919" s="71"/>
      <c r="AF919" s="71"/>
      <c r="AG919" s="71"/>
      <c r="AH919" s="71"/>
      <c r="AI919" s="71"/>
      <c r="AJ919" s="71"/>
      <c r="AK919" s="71"/>
      <c r="AL919" s="71"/>
      <c r="AM919" s="71"/>
      <c r="AN919" s="71"/>
      <c r="AO919" s="71"/>
      <c r="AP919" s="71"/>
      <c r="AQ919" s="71"/>
      <c r="AR919" s="71"/>
    </row>
    <row r="920" ht="15.75" customHeight="1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  <c r="AA920" s="71"/>
      <c r="AB920" s="71"/>
      <c r="AC920" s="71"/>
      <c r="AD920" s="71"/>
      <c r="AE920" s="71"/>
      <c r="AF920" s="71"/>
      <c r="AG920" s="71"/>
      <c r="AH920" s="71"/>
      <c r="AI920" s="71"/>
      <c r="AJ920" s="71"/>
      <c r="AK920" s="71"/>
      <c r="AL920" s="71"/>
      <c r="AM920" s="71"/>
      <c r="AN920" s="71"/>
      <c r="AO920" s="71"/>
      <c r="AP920" s="71"/>
      <c r="AQ920" s="71"/>
      <c r="AR920" s="71"/>
    </row>
    <row r="921" ht="15.75" customHeight="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  <c r="AA921" s="71"/>
      <c r="AB921" s="71"/>
      <c r="AC921" s="71"/>
      <c r="AD921" s="71"/>
      <c r="AE921" s="71"/>
      <c r="AF921" s="71"/>
      <c r="AG921" s="71"/>
      <c r="AH921" s="71"/>
      <c r="AI921" s="71"/>
      <c r="AJ921" s="71"/>
      <c r="AK921" s="71"/>
      <c r="AL921" s="71"/>
      <c r="AM921" s="71"/>
      <c r="AN921" s="71"/>
      <c r="AO921" s="71"/>
      <c r="AP921" s="71"/>
      <c r="AQ921" s="71"/>
      <c r="AR921" s="71"/>
    </row>
    <row r="922" ht="15.75" customHeight="1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  <c r="AA922" s="71"/>
      <c r="AB922" s="71"/>
      <c r="AC922" s="71"/>
      <c r="AD922" s="71"/>
      <c r="AE922" s="71"/>
      <c r="AF922" s="71"/>
      <c r="AG922" s="71"/>
      <c r="AH922" s="71"/>
      <c r="AI922" s="71"/>
      <c r="AJ922" s="71"/>
      <c r="AK922" s="71"/>
      <c r="AL922" s="71"/>
      <c r="AM922" s="71"/>
      <c r="AN922" s="71"/>
      <c r="AO922" s="71"/>
      <c r="AP922" s="71"/>
      <c r="AQ922" s="71"/>
      <c r="AR922" s="71"/>
    </row>
    <row r="923" ht="15.75" customHeight="1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  <c r="AA923" s="71"/>
      <c r="AB923" s="71"/>
      <c r="AC923" s="71"/>
      <c r="AD923" s="71"/>
      <c r="AE923" s="71"/>
      <c r="AF923" s="71"/>
      <c r="AG923" s="71"/>
      <c r="AH923" s="71"/>
      <c r="AI923" s="71"/>
      <c r="AJ923" s="71"/>
      <c r="AK923" s="71"/>
      <c r="AL923" s="71"/>
      <c r="AM923" s="71"/>
      <c r="AN923" s="71"/>
      <c r="AO923" s="71"/>
      <c r="AP923" s="71"/>
      <c r="AQ923" s="71"/>
      <c r="AR923" s="71"/>
    </row>
    <row r="924" ht="15.75" customHeight="1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  <c r="AA924" s="71"/>
      <c r="AB924" s="71"/>
      <c r="AC924" s="71"/>
      <c r="AD924" s="71"/>
      <c r="AE924" s="71"/>
      <c r="AF924" s="71"/>
      <c r="AG924" s="71"/>
      <c r="AH924" s="71"/>
      <c r="AI924" s="71"/>
      <c r="AJ924" s="71"/>
      <c r="AK924" s="71"/>
      <c r="AL924" s="71"/>
      <c r="AM924" s="71"/>
      <c r="AN924" s="71"/>
      <c r="AO924" s="71"/>
      <c r="AP924" s="71"/>
      <c r="AQ924" s="71"/>
      <c r="AR924" s="71"/>
    </row>
    <row r="925" ht="15.75" customHeight="1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  <c r="AA925" s="71"/>
      <c r="AB925" s="71"/>
      <c r="AC925" s="71"/>
      <c r="AD925" s="71"/>
      <c r="AE925" s="71"/>
      <c r="AF925" s="71"/>
      <c r="AG925" s="71"/>
      <c r="AH925" s="71"/>
      <c r="AI925" s="71"/>
      <c r="AJ925" s="71"/>
      <c r="AK925" s="71"/>
      <c r="AL925" s="71"/>
      <c r="AM925" s="71"/>
      <c r="AN925" s="71"/>
      <c r="AO925" s="71"/>
      <c r="AP925" s="71"/>
      <c r="AQ925" s="71"/>
      <c r="AR925" s="71"/>
    </row>
    <row r="926" ht="15.75" customHeight="1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  <c r="AA926" s="71"/>
      <c r="AB926" s="71"/>
      <c r="AC926" s="71"/>
      <c r="AD926" s="71"/>
      <c r="AE926" s="71"/>
      <c r="AF926" s="71"/>
      <c r="AG926" s="71"/>
      <c r="AH926" s="71"/>
      <c r="AI926" s="71"/>
      <c r="AJ926" s="71"/>
      <c r="AK926" s="71"/>
      <c r="AL926" s="71"/>
      <c r="AM926" s="71"/>
      <c r="AN926" s="71"/>
      <c r="AO926" s="71"/>
      <c r="AP926" s="71"/>
      <c r="AQ926" s="71"/>
      <c r="AR926" s="71"/>
    </row>
    <row r="927" ht="15.75" customHeight="1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  <c r="AA927" s="71"/>
      <c r="AB927" s="71"/>
      <c r="AC927" s="71"/>
      <c r="AD927" s="71"/>
      <c r="AE927" s="71"/>
      <c r="AF927" s="71"/>
      <c r="AG927" s="71"/>
      <c r="AH927" s="71"/>
      <c r="AI927" s="71"/>
      <c r="AJ927" s="71"/>
      <c r="AK927" s="71"/>
      <c r="AL927" s="71"/>
      <c r="AM927" s="71"/>
      <c r="AN927" s="71"/>
      <c r="AO927" s="71"/>
      <c r="AP927" s="71"/>
      <c r="AQ927" s="71"/>
      <c r="AR927" s="71"/>
    </row>
    <row r="928" ht="15.75" customHeight="1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  <c r="AA928" s="71"/>
      <c r="AB928" s="71"/>
      <c r="AC928" s="71"/>
      <c r="AD928" s="71"/>
      <c r="AE928" s="71"/>
      <c r="AF928" s="71"/>
      <c r="AG928" s="71"/>
      <c r="AH928" s="71"/>
      <c r="AI928" s="71"/>
      <c r="AJ928" s="71"/>
      <c r="AK928" s="71"/>
      <c r="AL928" s="71"/>
      <c r="AM928" s="71"/>
      <c r="AN928" s="71"/>
      <c r="AO928" s="71"/>
      <c r="AP928" s="71"/>
      <c r="AQ928" s="71"/>
      <c r="AR928" s="71"/>
    </row>
    <row r="929" ht="15.75" customHeight="1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  <c r="AA929" s="71"/>
      <c r="AB929" s="71"/>
      <c r="AC929" s="71"/>
      <c r="AD929" s="71"/>
      <c r="AE929" s="71"/>
      <c r="AF929" s="71"/>
      <c r="AG929" s="71"/>
      <c r="AH929" s="71"/>
      <c r="AI929" s="71"/>
      <c r="AJ929" s="71"/>
      <c r="AK929" s="71"/>
      <c r="AL929" s="71"/>
      <c r="AM929" s="71"/>
      <c r="AN929" s="71"/>
      <c r="AO929" s="71"/>
      <c r="AP929" s="71"/>
      <c r="AQ929" s="71"/>
      <c r="AR929" s="71"/>
    </row>
    <row r="930" ht="15.75" customHeight="1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  <c r="AA930" s="71"/>
      <c r="AB930" s="71"/>
      <c r="AC930" s="71"/>
      <c r="AD930" s="71"/>
      <c r="AE930" s="71"/>
      <c r="AF930" s="71"/>
      <c r="AG930" s="71"/>
      <c r="AH930" s="71"/>
      <c r="AI930" s="71"/>
      <c r="AJ930" s="71"/>
      <c r="AK930" s="71"/>
      <c r="AL930" s="71"/>
      <c r="AM930" s="71"/>
      <c r="AN930" s="71"/>
      <c r="AO930" s="71"/>
      <c r="AP930" s="71"/>
      <c r="AQ930" s="71"/>
      <c r="AR930" s="71"/>
    </row>
    <row r="931" ht="15.75" customHeight="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  <c r="AA931" s="71"/>
      <c r="AB931" s="71"/>
      <c r="AC931" s="71"/>
      <c r="AD931" s="71"/>
      <c r="AE931" s="71"/>
      <c r="AF931" s="71"/>
      <c r="AG931" s="71"/>
      <c r="AH931" s="71"/>
      <c r="AI931" s="71"/>
      <c r="AJ931" s="71"/>
      <c r="AK931" s="71"/>
      <c r="AL931" s="71"/>
      <c r="AM931" s="71"/>
      <c r="AN931" s="71"/>
      <c r="AO931" s="71"/>
      <c r="AP931" s="71"/>
      <c r="AQ931" s="71"/>
      <c r="AR931" s="71"/>
    </row>
    <row r="932" ht="15.75" customHeight="1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  <c r="AA932" s="71"/>
      <c r="AB932" s="71"/>
      <c r="AC932" s="71"/>
      <c r="AD932" s="71"/>
      <c r="AE932" s="71"/>
      <c r="AF932" s="71"/>
      <c r="AG932" s="71"/>
      <c r="AH932" s="71"/>
      <c r="AI932" s="71"/>
      <c r="AJ932" s="71"/>
      <c r="AK932" s="71"/>
      <c r="AL932" s="71"/>
      <c r="AM932" s="71"/>
      <c r="AN932" s="71"/>
      <c r="AO932" s="71"/>
      <c r="AP932" s="71"/>
      <c r="AQ932" s="71"/>
      <c r="AR932" s="71"/>
    </row>
    <row r="933" ht="15.75" customHeight="1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  <c r="AA933" s="71"/>
      <c r="AB933" s="71"/>
      <c r="AC933" s="71"/>
      <c r="AD933" s="71"/>
      <c r="AE933" s="71"/>
      <c r="AF933" s="71"/>
      <c r="AG933" s="71"/>
      <c r="AH933" s="71"/>
      <c r="AI933" s="71"/>
      <c r="AJ933" s="71"/>
      <c r="AK933" s="71"/>
      <c r="AL933" s="71"/>
      <c r="AM933" s="71"/>
      <c r="AN933" s="71"/>
      <c r="AO933" s="71"/>
      <c r="AP933" s="71"/>
      <c r="AQ933" s="71"/>
      <c r="AR933" s="71"/>
    </row>
    <row r="934" ht="15.75" customHeight="1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  <c r="AA934" s="71"/>
      <c r="AB934" s="71"/>
      <c r="AC934" s="71"/>
      <c r="AD934" s="71"/>
      <c r="AE934" s="71"/>
      <c r="AF934" s="71"/>
      <c r="AG934" s="71"/>
      <c r="AH934" s="71"/>
      <c r="AI934" s="71"/>
      <c r="AJ934" s="71"/>
      <c r="AK934" s="71"/>
      <c r="AL934" s="71"/>
      <c r="AM934" s="71"/>
      <c r="AN934" s="71"/>
      <c r="AO934" s="71"/>
      <c r="AP934" s="71"/>
      <c r="AQ934" s="71"/>
      <c r="AR934" s="71"/>
    </row>
    <row r="935" ht="15.75" customHeight="1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  <c r="AA935" s="71"/>
      <c r="AB935" s="71"/>
      <c r="AC935" s="71"/>
      <c r="AD935" s="71"/>
      <c r="AE935" s="71"/>
      <c r="AF935" s="71"/>
      <c r="AG935" s="71"/>
      <c r="AH935" s="71"/>
      <c r="AI935" s="71"/>
      <c r="AJ935" s="71"/>
      <c r="AK935" s="71"/>
      <c r="AL935" s="71"/>
      <c r="AM935" s="71"/>
      <c r="AN935" s="71"/>
      <c r="AO935" s="71"/>
      <c r="AP935" s="71"/>
      <c r="AQ935" s="71"/>
      <c r="AR935" s="71"/>
    </row>
    <row r="936" ht="15.75" customHeight="1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  <c r="AA936" s="71"/>
      <c r="AB936" s="71"/>
      <c r="AC936" s="71"/>
      <c r="AD936" s="71"/>
      <c r="AE936" s="71"/>
      <c r="AF936" s="71"/>
      <c r="AG936" s="71"/>
      <c r="AH936" s="71"/>
      <c r="AI936" s="71"/>
      <c r="AJ936" s="71"/>
      <c r="AK936" s="71"/>
      <c r="AL936" s="71"/>
      <c r="AM936" s="71"/>
      <c r="AN936" s="71"/>
      <c r="AO936" s="71"/>
      <c r="AP936" s="71"/>
      <c r="AQ936" s="71"/>
      <c r="AR936" s="71"/>
    </row>
    <row r="937" ht="15.75" customHeight="1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  <c r="AA937" s="71"/>
      <c r="AB937" s="71"/>
      <c r="AC937" s="71"/>
      <c r="AD937" s="71"/>
      <c r="AE937" s="71"/>
      <c r="AF937" s="71"/>
      <c r="AG937" s="71"/>
      <c r="AH937" s="71"/>
      <c r="AI937" s="71"/>
      <c r="AJ937" s="71"/>
      <c r="AK937" s="71"/>
      <c r="AL937" s="71"/>
      <c r="AM937" s="71"/>
      <c r="AN937" s="71"/>
      <c r="AO937" s="71"/>
      <c r="AP937" s="71"/>
      <c r="AQ937" s="71"/>
      <c r="AR937" s="71"/>
    </row>
    <row r="938" ht="15.75" customHeight="1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  <c r="AA938" s="71"/>
      <c r="AB938" s="71"/>
      <c r="AC938" s="71"/>
      <c r="AD938" s="71"/>
      <c r="AE938" s="71"/>
      <c r="AF938" s="71"/>
      <c r="AG938" s="71"/>
      <c r="AH938" s="71"/>
      <c r="AI938" s="71"/>
      <c r="AJ938" s="71"/>
      <c r="AK938" s="71"/>
      <c r="AL938" s="71"/>
      <c r="AM938" s="71"/>
      <c r="AN938" s="71"/>
      <c r="AO938" s="71"/>
      <c r="AP938" s="71"/>
      <c r="AQ938" s="71"/>
      <c r="AR938" s="71"/>
    </row>
    <row r="939" ht="15.75" customHeight="1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  <c r="AA939" s="71"/>
      <c r="AB939" s="71"/>
      <c r="AC939" s="71"/>
      <c r="AD939" s="71"/>
      <c r="AE939" s="71"/>
      <c r="AF939" s="71"/>
      <c r="AG939" s="71"/>
      <c r="AH939" s="71"/>
      <c r="AI939" s="71"/>
      <c r="AJ939" s="71"/>
      <c r="AK939" s="71"/>
      <c r="AL939" s="71"/>
      <c r="AM939" s="71"/>
      <c r="AN939" s="71"/>
      <c r="AO939" s="71"/>
      <c r="AP939" s="71"/>
      <c r="AQ939" s="71"/>
      <c r="AR939" s="71"/>
    </row>
    <row r="940" ht="15.75" customHeight="1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  <c r="AA940" s="71"/>
      <c r="AB940" s="71"/>
      <c r="AC940" s="71"/>
      <c r="AD940" s="71"/>
      <c r="AE940" s="71"/>
      <c r="AF940" s="71"/>
      <c r="AG940" s="71"/>
      <c r="AH940" s="71"/>
      <c r="AI940" s="71"/>
      <c r="AJ940" s="71"/>
      <c r="AK940" s="71"/>
      <c r="AL940" s="71"/>
      <c r="AM940" s="71"/>
      <c r="AN940" s="71"/>
      <c r="AO940" s="71"/>
      <c r="AP940" s="71"/>
      <c r="AQ940" s="71"/>
      <c r="AR940" s="71"/>
    </row>
    <row r="941" ht="15.75" customHeight="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  <c r="AA941" s="71"/>
      <c r="AB941" s="71"/>
      <c r="AC941" s="71"/>
      <c r="AD941" s="71"/>
      <c r="AE941" s="71"/>
      <c r="AF941" s="71"/>
      <c r="AG941" s="71"/>
      <c r="AH941" s="71"/>
      <c r="AI941" s="71"/>
      <c r="AJ941" s="71"/>
      <c r="AK941" s="71"/>
      <c r="AL941" s="71"/>
      <c r="AM941" s="71"/>
      <c r="AN941" s="71"/>
      <c r="AO941" s="71"/>
      <c r="AP941" s="71"/>
      <c r="AQ941" s="71"/>
      <c r="AR941" s="71"/>
    </row>
    <row r="942" ht="15.75" customHeight="1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  <c r="AA942" s="71"/>
      <c r="AB942" s="71"/>
      <c r="AC942" s="71"/>
      <c r="AD942" s="71"/>
      <c r="AE942" s="71"/>
      <c r="AF942" s="71"/>
      <c r="AG942" s="71"/>
      <c r="AH942" s="71"/>
      <c r="AI942" s="71"/>
      <c r="AJ942" s="71"/>
      <c r="AK942" s="71"/>
      <c r="AL942" s="71"/>
      <c r="AM942" s="71"/>
      <c r="AN942" s="71"/>
      <c r="AO942" s="71"/>
      <c r="AP942" s="71"/>
      <c r="AQ942" s="71"/>
      <c r="AR942" s="71"/>
    </row>
    <row r="943" ht="15.75" customHeight="1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  <c r="AA943" s="71"/>
      <c r="AB943" s="71"/>
      <c r="AC943" s="71"/>
      <c r="AD943" s="71"/>
      <c r="AE943" s="71"/>
      <c r="AF943" s="71"/>
      <c r="AG943" s="71"/>
      <c r="AH943" s="71"/>
      <c r="AI943" s="71"/>
      <c r="AJ943" s="71"/>
      <c r="AK943" s="71"/>
      <c r="AL943" s="71"/>
      <c r="AM943" s="71"/>
      <c r="AN943" s="71"/>
      <c r="AO943" s="71"/>
      <c r="AP943" s="71"/>
      <c r="AQ943" s="71"/>
      <c r="AR943" s="71"/>
    </row>
    <row r="944" ht="15.75" customHeight="1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  <c r="AA944" s="71"/>
      <c r="AB944" s="71"/>
      <c r="AC944" s="71"/>
      <c r="AD944" s="71"/>
      <c r="AE944" s="71"/>
      <c r="AF944" s="71"/>
      <c r="AG944" s="71"/>
      <c r="AH944" s="71"/>
      <c r="AI944" s="71"/>
      <c r="AJ944" s="71"/>
      <c r="AK944" s="71"/>
      <c r="AL944" s="71"/>
      <c r="AM944" s="71"/>
      <c r="AN944" s="71"/>
      <c r="AO944" s="71"/>
      <c r="AP944" s="71"/>
      <c r="AQ944" s="71"/>
      <c r="AR944" s="71"/>
    </row>
    <row r="945" ht="15.75" customHeight="1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  <c r="AA945" s="71"/>
      <c r="AB945" s="71"/>
      <c r="AC945" s="71"/>
      <c r="AD945" s="71"/>
      <c r="AE945" s="71"/>
      <c r="AF945" s="71"/>
      <c r="AG945" s="71"/>
      <c r="AH945" s="71"/>
      <c r="AI945" s="71"/>
      <c r="AJ945" s="71"/>
      <c r="AK945" s="71"/>
      <c r="AL945" s="71"/>
      <c r="AM945" s="71"/>
      <c r="AN945" s="71"/>
      <c r="AO945" s="71"/>
      <c r="AP945" s="71"/>
      <c r="AQ945" s="71"/>
      <c r="AR945" s="71"/>
    </row>
    <row r="946" ht="15.75" customHeight="1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  <c r="AA946" s="71"/>
      <c r="AB946" s="71"/>
      <c r="AC946" s="71"/>
      <c r="AD946" s="71"/>
      <c r="AE946" s="71"/>
      <c r="AF946" s="71"/>
      <c r="AG946" s="71"/>
      <c r="AH946" s="71"/>
      <c r="AI946" s="71"/>
      <c r="AJ946" s="71"/>
      <c r="AK946" s="71"/>
      <c r="AL946" s="71"/>
      <c r="AM946" s="71"/>
      <c r="AN946" s="71"/>
      <c r="AO946" s="71"/>
      <c r="AP946" s="71"/>
      <c r="AQ946" s="71"/>
      <c r="AR946" s="71"/>
    </row>
    <row r="947" ht="15.75" customHeight="1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  <c r="AA947" s="71"/>
      <c r="AB947" s="71"/>
      <c r="AC947" s="71"/>
      <c r="AD947" s="71"/>
      <c r="AE947" s="71"/>
      <c r="AF947" s="71"/>
      <c r="AG947" s="71"/>
      <c r="AH947" s="71"/>
      <c r="AI947" s="71"/>
      <c r="AJ947" s="71"/>
      <c r="AK947" s="71"/>
      <c r="AL947" s="71"/>
      <c r="AM947" s="71"/>
      <c r="AN947" s="71"/>
      <c r="AO947" s="71"/>
      <c r="AP947" s="71"/>
      <c r="AQ947" s="71"/>
      <c r="AR947" s="71"/>
    </row>
    <row r="948" ht="15.75" customHeight="1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  <c r="AA948" s="71"/>
      <c r="AB948" s="71"/>
      <c r="AC948" s="71"/>
      <c r="AD948" s="71"/>
      <c r="AE948" s="71"/>
      <c r="AF948" s="71"/>
      <c r="AG948" s="71"/>
      <c r="AH948" s="71"/>
      <c r="AI948" s="71"/>
      <c r="AJ948" s="71"/>
      <c r="AK948" s="71"/>
      <c r="AL948" s="71"/>
      <c r="AM948" s="71"/>
      <c r="AN948" s="71"/>
      <c r="AO948" s="71"/>
      <c r="AP948" s="71"/>
      <c r="AQ948" s="71"/>
      <c r="AR948" s="71"/>
    </row>
    <row r="949" ht="15.75" customHeight="1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  <c r="AA949" s="71"/>
      <c r="AB949" s="71"/>
      <c r="AC949" s="71"/>
      <c r="AD949" s="71"/>
      <c r="AE949" s="71"/>
      <c r="AF949" s="71"/>
      <c r="AG949" s="71"/>
      <c r="AH949" s="71"/>
      <c r="AI949" s="71"/>
      <c r="AJ949" s="71"/>
      <c r="AK949" s="71"/>
      <c r="AL949" s="71"/>
      <c r="AM949" s="71"/>
      <c r="AN949" s="71"/>
      <c r="AO949" s="71"/>
      <c r="AP949" s="71"/>
      <c r="AQ949" s="71"/>
      <c r="AR949" s="71"/>
    </row>
    <row r="950" ht="15.75" customHeight="1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  <c r="AA950" s="71"/>
      <c r="AB950" s="71"/>
      <c r="AC950" s="71"/>
      <c r="AD950" s="71"/>
      <c r="AE950" s="71"/>
      <c r="AF950" s="71"/>
      <c r="AG950" s="71"/>
      <c r="AH950" s="71"/>
      <c r="AI950" s="71"/>
      <c r="AJ950" s="71"/>
      <c r="AK950" s="71"/>
      <c r="AL950" s="71"/>
      <c r="AM950" s="71"/>
      <c r="AN950" s="71"/>
      <c r="AO950" s="71"/>
      <c r="AP950" s="71"/>
      <c r="AQ950" s="71"/>
      <c r="AR950" s="71"/>
    </row>
    <row r="951" ht="15.75" customHeight="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  <c r="AA951" s="71"/>
      <c r="AB951" s="71"/>
      <c r="AC951" s="71"/>
      <c r="AD951" s="71"/>
      <c r="AE951" s="71"/>
      <c r="AF951" s="71"/>
      <c r="AG951" s="71"/>
      <c r="AH951" s="71"/>
      <c r="AI951" s="71"/>
      <c r="AJ951" s="71"/>
      <c r="AK951" s="71"/>
      <c r="AL951" s="71"/>
      <c r="AM951" s="71"/>
      <c r="AN951" s="71"/>
      <c r="AO951" s="71"/>
      <c r="AP951" s="71"/>
      <c r="AQ951" s="71"/>
      <c r="AR951" s="71"/>
    </row>
    <row r="952" ht="15.75" customHeight="1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  <c r="AA952" s="71"/>
      <c r="AB952" s="71"/>
      <c r="AC952" s="71"/>
      <c r="AD952" s="71"/>
      <c r="AE952" s="71"/>
      <c r="AF952" s="71"/>
      <c r="AG952" s="71"/>
      <c r="AH952" s="71"/>
      <c r="AI952" s="71"/>
      <c r="AJ952" s="71"/>
      <c r="AK952" s="71"/>
      <c r="AL952" s="71"/>
      <c r="AM952" s="71"/>
      <c r="AN952" s="71"/>
      <c r="AO952" s="71"/>
      <c r="AP952" s="71"/>
      <c r="AQ952" s="71"/>
      <c r="AR952" s="71"/>
    </row>
    <row r="953" ht="15.75" customHeight="1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  <c r="AA953" s="71"/>
      <c r="AB953" s="71"/>
      <c r="AC953" s="71"/>
      <c r="AD953" s="71"/>
      <c r="AE953" s="71"/>
      <c r="AF953" s="71"/>
      <c r="AG953" s="71"/>
      <c r="AH953" s="71"/>
      <c r="AI953" s="71"/>
      <c r="AJ953" s="71"/>
      <c r="AK953" s="71"/>
      <c r="AL953" s="71"/>
      <c r="AM953" s="71"/>
      <c r="AN953" s="71"/>
      <c r="AO953" s="71"/>
      <c r="AP953" s="71"/>
      <c r="AQ953" s="71"/>
      <c r="AR953" s="71"/>
    </row>
    <row r="954" ht="15.75" customHeight="1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  <c r="AA954" s="71"/>
      <c r="AB954" s="71"/>
      <c r="AC954" s="71"/>
      <c r="AD954" s="71"/>
      <c r="AE954" s="71"/>
      <c r="AF954" s="71"/>
      <c r="AG954" s="71"/>
      <c r="AH954" s="71"/>
      <c r="AI954" s="71"/>
      <c r="AJ954" s="71"/>
      <c r="AK954" s="71"/>
      <c r="AL954" s="71"/>
      <c r="AM954" s="71"/>
      <c r="AN954" s="71"/>
      <c r="AO954" s="71"/>
      <c r="AP954" s="71"/>
      <c r="AQ954" s="71"/>
      <c r="AR954" s="71"/>
    </row>
    <row r="955" ht="15.75" customHeight="1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  <c r="AA955" s="71"/>
      <c r="AB955" s="71"/>
      <c r="AC955" s="71"/>
      <c r="AD955" s="71"/>
      <c r="AE955" s="71"/>
      <c r="AF955" s="71"/>
      <c r="AG955" s="71"/>
      <c r="AH955" s="71"/>
      <c r="AI955" s="71"/>
      <c r="AJ955" s="71"/>
      <c r="AK955" s="71"/>
      <c r="AL955" s="71"/>
      <c r="AM955" s="71"/>
      <c r="AN955" s="71"/>
      <c r="AO955" s="71"/>
      <c r="AP955" s="71"/>
      <c r="AQ955" s="71"/>
      <c r="AR955" s="71"/>
    </row>
    <row r="956" ht="15.75" customHeight="1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  <c r="AA956" s="71"/>
      <c r="AB956" s="71"/>
      <c r="AC956" s="71"/>
      <c r="AD956" s="71"/>
      <c r="AE956" s="71"/>
      <c r="AF956" s="71"/>
      <c r="AG956" s="71"/>
      <c r="AH956" s="71"/>
      <c r="AI956" s="71"/>
      <c r="AJ956" s="71"/>
      <c r="AK956" s="71"/>
      <c r="AL956" s="71"/>
      <c r="AM956" s="71"/>
      <c r="AN956" s="71"/>
      <c r="AO956" s="71"/>
      <c r="AP956" s="71"/>
      <c r="AQ956" s="71"/>
      <c r="AR956" s="71"/>
    </row>
    <row r="957" ht="15.75" customHeight="1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  <c r="AA957" s="71"/>
      <c r="AB957" s="71"/>
      <c r="AC957" s="71"/>
      <c r="AD957" s="71"/>
      <c r="AE957" s="71"/>
      <c r="AF957" s="71"/>
      <c r="AG957" s="71"/>
      <c r="AH957" s="71"/>
      <c r="AI957" s="71"/>
      <c r="AJ957" s="71"/>
      <c r="AK957" s="71"/>
      <c r="AL957" s="71"/>
      <c r="AM957" s="71"/>
      <c r="AN957" s="71"/>
      <c r="AO957" s="71"/>
      <c r="AP957" s="71"/>
      <c r="AQ957" s="71"/>
      <c r="AR957" s="71"/>
    </row>
    <row r="958" ht="15.75" customHeight="1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  <c r="AA958" s="71"/>
      <c r="AB958" s="71"/>
      <c r="AC958" s="71"/>
      <c r="AD958" s="71"/>
      <c r="AE958" s="71"/>
      <c r="AF958" s="71"/>
      <c r="AG958" s="71"/>
      <c r="AH958" s="71"/>
      <c r="AI958" s="71"/>
      <c r="AJ958" s="71"/>
      <c r="AK958" s="71"/>
      <c r="AL958" s="71"/>
      <c r="AM958" s="71"/>
      <c r="AN958" s="71"/>
      <c r="AO958" s="71"/>
      <c r="AP958" s="71"/>
      <c r="AQ958" s="71"/>
      <c r="AR958" s="71"/>
    </row>
    <row r="959" ht="15.75" customHeight="1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  <c r="AA959" s="71"/>
      <c r="AB959" s="71"/>
      <c r="AC959" s="71"/>
      <c r="AD959" s="71"/>
      <c r="AE959" s="71"/>
      <c r="AF959" s="71"/>
      <c r="AG959" s="71"/>
      <c r="AH959" s="71"/>
      <c r="AI959" s="71"/>
      <c r="AJ959" s="71"/>
      <c r="AK959" s="71"/>
      <c r="AL959" s="71"/>
      <c r="AM959" s="71"/>
      <c r="AN959" s="71"/>
      <c r="AO959" s="71"/>
      <c r="AP959" s="71"/>
      <c r="AQ959" s="71"/>
      <c r="AR959" s="71"/>
    </row>
    <row r="960" ht="15.75" customHeight="1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  <c r="AA960" s="71"/>
      <c r="AB960" s="71"/>
      <c r="AC960" s="71"/>
      <c r="AD960" s="71"/>
      <c r="AE960" s="71"/>
      <c r="AF960" s="71"/>
      <c r="AG960" s="71"/>
      <c r="AH960" s="71"/>
      <c r="AI960" s="71"/>
      <c r="AJ960" s="71"/>
      <c r="AK960" s="71"/>
      <c r="AL960" s="71"/>
      <c r="AM960" s="71"/>
      <c r="AN960" s="71"/>
      <c r="AO960" s="71"/>
      <c r="AP960" s="71"/>
      <c r="AQ960" s="71"/>
      <c r="AR960" s="71"/>
    </row>
    <row r="961" ht="15.75" customHeight="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  <c r="AA961" s="71"/>
      <c r="AB961" s="71"/>
      <c r="AC961" s="71"/>
      <c r="AD961" s="71"/>
      <c r="AE961" s="71"/>
      <c r="AF961" s="71"/>
      <c r="AG961" s="71"/>
      <c r="AH961" s="71"/>
      <c r="AI961" s="71"/>
      <c r="AJ961" s="71"/>
      <c r="AK961" s="71"/>
      <c r="AL961" s="71"/>
      <c r="AM961" s="71"/>
      <c r="AN961" s="71"/>
      <c r="AO961" s="71"/>
      <c r="AP961" s="71"/>
      <c r="AQ961" s="71"/>
      <c r="AR961" s="71"/>
    </row>
    <row r="962" ht="15.75" customHeight="1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  <c r="AA962" s="71"/>
      <c r="AB962" s="71"/>
      <c r="AC962" s="71"/>
      <c r="AD962" s="71"/>
      <c r="AE962" s="71"/>
      <c r="AF962" s="71"/>
      <c r="AG962" s="71"/>
      <c r="AH962" s="71"/>
      <c r="AI962" s="71"/>
      <c r="AJ962" s="71"/>
      <c r="AK962" s="71"/>
      <c r="AL962" s="71"/>
      <c r="AM962" s="71"/>
      <c r="AN962" s="71"/>
      <c r="AO962" s="71"/>
      <c r="AP962" s="71"/>
      <c r="AQ962" s="71"/>
      <c r="AR962" s="71"/>
    </row>
    <row r="963" ht="15.75" customHeight="1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  <c r="AA963" s="71"/>
      <c r="AB963" s="71"/>
      <c r="AC963" s="71"/>
      <c r="AD963" s="71"/>
      <c r="AE963" s="71"/>
      <c r="AF963" s="71"/>
      <c r="AG963" s="71"/>
      <c r="AH963" s="71"/>
      <c r="AI963" s="71"/>
      <c r="AJ963" s="71"/>
      <c r="AK963" s="71"/>
      <c r="AL963" s="71"/>
      <c r="AM963" s="71"/>
      <c r="AN963" s="71"/>
      <c r="AO963" s="71"/>
      <c r="AP963" s="71"/>
      <c r="AQ963" s="71"/>
      <c r="AR963" s="71"/>
    </row>
    <row r="964" ht="15.75" customHeight="1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  <c r="AA964" s="71"/>
      <c r="AB964" s="71"/>
      <c r="AC964" s="71"/>
      <c r="AD964" s="71"/>
      <c r="AE964" s="71"/>
      <c r="AF964" s="71"/>
      <c r="AG964" s="71"/>
      <c r="AH964" s="71"/>
      <c r="AI964" s="71"/>
      <c r="AJ964" s="71"/>
      <c r="AK964" s="71"/>
      <c r="AL964" s="71"/>
      <c r="AM964" s="71"/>
      <c r="AN964" s="71"/>
      <c r="AO964" s="71"/>
      <c r="AP964" s="71"/>
      <c r="AQ964" s="71"/>
      <c r="AR964" s="71"/>
    </row>
    <row r="965" ht="15.75" customHeight="1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  <c r="AA965" s="71"/>
      <c r="AB965" s="71"/>
      <c r="AC965" s="71"/>
      <c r="AD965" s="71"/>
      <c r="AE965" s="71"/>
      <c r="AF965" s="71"/>
      <c r="AG965" s="71"/>
      <c r="AH965" s="71"/>
      <c r="AI965" s="71"/>
      <c r="AJ965" s="71"/>
      <c r="AK965" s="71"/>
      <c r="AL965" s="71"/>
      <c r="AM965" s="71"/>
      <c r="AN965" s="71"/>
      <c r="AO965" s="71"/>
      <c r="AP965" s="71"/>
      <c r="AQ965" s="71"/>
      <c r="AR965" s="71"/>
    </row>
    <row r="966" ht="15.75" customHeight="1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  <c r="AA966" s="71"/>
      <c r="AB966" s="71"/>
      <c r="AC966" s="71"/>
      <c r="AD966" s="71"/>
      <c r="AE966" s="71"/>
      <c r="AF966" s="71"/>
      <c r="AG966" s="71"/>
      <c r="AH966" s="71"/>
      <c r="AI966" s="71"/>
      <c r="AJ966" s="71"/>
      <c r="AK966" s="71"/>
      <c r="AL966" s="71"/>
      <c r="AM966" s="71"/>
      <c r="AN966" s="71"/>
      <c r="AO966" s="71"/>
      <c r="AP966" s="71"/>
      <c r="AQ966" s="71"/>
      <c r="AR966" s="71"/>
    </row>
    <row r="967" ht="15.75" customHeight="1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  <c r="AA967" s="71"/>
      <c r="AB967" s="71"/>
      <c r="AC967" s="71"/>
      <c r="AD967" s="71"/>
      <c r="AE967" s="71"/>
      <c r="AF967" s="71"/>
      <c r="AG967" s="71"/>
      <c r="AH967" s="71"/>
      <c r="AI967" s="71"/>
      <c r="AJ967" s="71"/>
      <c r="AK967" s="71"/>
      <c r="AL967" s="71"/>
      <c r="AM967" s="71"/>
      <c r="AN967" s="71"/>
      <c r="AO967" s="71"/>
      <c r="AP967" s="71"/>
      <c r="AQ967" s="71"/>
      <c r="AR967" s="71"/>
    </row>
    <row r="968" ht="15.75" customHeight="1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  <c r="AA968" s="71"/>
      <c r="AB968" s="71"/>
      <c r="AC968" s="71"/>
      <c r="AD968" s="71"/>
      <c r="AE968" s="71"/>
      <c r="AF968" s="71"/>
      <c r="AG968" s="71"/>
      <c r="AH968" s="71"/>
      <c r="AI968" s="71"/>
      <c r="AJ968" s="71"/>
      <c r="AK968" s="71"/>
      <c r="AL968" s="71"/>
      <c r="AM968" s="71"/>
      <c r="AN968" s="71"/>
      <c r="AO968" s="71"/>
      <c r="AP968" s="71"/>
      <c r="AQ968" s="71"/>
      <c r="AR968" s="71"/>
    </row>
    <row r="969" ht="15.75" customHeight="1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  <c r="AA969" s="71"/>
      <c r="AB969" s="71"/>
      <c r="AC969" s="71"/>
      <c r="AD969" s="71"/>
      <c r="AE969" s="71"/>
      <c r="AF969" s="71"/>
      <c r="AG969" s="71"/>
      <c r="AH969" s="71"/>
      <c r="AI969" s="71"/>
      <c r="AJ969" s="71"/>
      <c r="AK969" s="71"/>
      <c r="AL969" s="71"/>
      <c r="AM969" s="71"/>
      <c r="AN969" s="71"/>
      <c r="AO969" s="71"/>
      <c r="AP969" s="71"/>
      <c r="AQ969" s="71"/>
      <c r="AR969" s="71"/>
    </row>
    <row r="970" ht="15.75" customHeight="1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  <c r="AA970" s="71"/>
      <c r="AB970" s="71"/>
      <c r="AC970" s="71"/>
      <c r="AD970" s="71"/>
      <c r="AE970" s="71"/>
      <c r="AF970" s="71"/>
      <c r="AG970" s="71"/>
      <c r="AH970" s="71"/>
      <c r="AI970" s="71"/>
      <c r="AJ970" s="71"/>
      <c r="AK970" s="71"/>
      <c r="AL970" s="71"/>
      <c r="AM970" s="71"/>
      <c r="AN970" s="71"/>
      <c r="AO970" s="71"/>
      <c r="AP970" s="71"/>
      <c r="AQ970" s="71"/>
      <c r="AR970" s="71"/>
    </row>
    <row r="971" ht="15.75" customHeight="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  <c r="AA971" s="71"/>
      <c r="AB971" s="71"/>
      <c r="AC971" s="71"/>
      <c r="AD971" s="71"/>
      <c r="AE971" s="71"/>
      <c r="AF971" s="71"/>
      <c r="AG971" s="71"/>
      <c r="AH971" s="71"/>
      <c r="AI971" s="71"/>
      <c r="AJ971" s="71"/>
      <c r="AK971" s="71"/>
      <c r="AL971" s="71"/>
      <c r="AM971" s="71"/>
      <c r="AN971" s="71"/>
      <c r="AO971" s="71"/>
      <c r="AP971" s="71"/>
      <c r="AQ971" s="71"/>
      <c r="AR971" s="71"/>
    </row>
    <row r="972" ht="15.75" customHeight="1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  <c r="AA972" s="71"/>
      <c r="AB972" s="71"/>
      <c r="AC972" s="71"/>
      <c r="AD972" s="71"/>
      <c r="AE972" s="71"/>
      <c r="AF972" s="71"/>
      <c r="AG972" s="71"/>
      <c r="AH972" s="71"/>
      <c r="AI972" s="71"/>
      <c r="AJ972" s="71"/>
      <c r="AK972" s="71"/>
      <c r="AL972" s="71"/>
      <c r="AM972" s="71"/>
      <c r="AN972" s="71"/>
      <c r="AO972" s="71"/>
      <c r="AP972" s="71"/>
      <c r="AQ972" s="71"/>
      <c r="AR972" s="71"/>
    </row>
    <row r="973" ht="15.75" customHeight="1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  <c r="AA973" s="71"/>
      <c r="AB973" s="71"/>
      <c r="AC973" s="71"/>
      <c r="AD973" s="71"/>
      <c r="AE973" s="71"/>
      <c r="AF973" s="71"/>
      <c r="AG973" s="71"/>
      <c r="AH973" s="71"/>
      <c r="AI973" s="71"/>
      <c r="AJ973" s="71"/>
      <c r="AK973" s="71"/>
      <c r="AL973" s="71"/>
      <c r="AM973" s="71"/>
      <c r="AN973" s="71"/>
      <c r="AO973" s="71"/>
      <c r="AP973" s="71"/>
      <c r="AQ973" s="71"/>
      <c r="AR973" s="71"/>
    </row>
    <row r="974" ht="15.75" customHeight="1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  <c r="AA974" s="71"/>
      <c r="AB974" s="71"/>
      <c r="AC974" s="71"/>
      <c r="AD974" s="71"/>
      <c r="AE974" s="71"/>
      <c r="AF974" s="71"/>
      <c r="AG974" s="71"/>
      <c r="AH974" s="71"/>
      <c r="AI974" s="71"/>
      <c r="AJ974" s="71"/>
      <c r="AK974" s="71"/>
      <c r="AL974" s="71"/>
      <c r="AM974" s="71"/>
      <c r="AN974" s="71"/>
      <c r="AO974" s="71"/>
      <c r="AP974" s="71"/>
      <c r="AQ974" s="71"/>
      <c r="AR974" s="71"/>
    </row>
    <row r="975" ht="15.75" customHeight="1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  <c r="AA975" s="71"/>
      <c r="AB975" s="71"/>
      <c r="AC975" s="71"/>
      <c r="AD975" s="71"/>
      <c r="AE975" s="71"/>
      <c r="AF975" s="71"/>
      <c r="AG975" s="71"/>
      <c r="AH975" s="71"/>
      <c r="AI975" s="71"/>
      <c r="AJ975" s="71"/>
      <c r="AK975" s="71"/>
      <c r="AL975" s="71"/>
      <c r="AM975" s="71"/>
      <c r="AN975" s="71"/>
      <c r="AO975" s="71"/>
      <c r="AP975" s="71"/>
      <c r="AQ975" s="71"/>
      <c r="AR975" s="71"/>
    </row>
    <row r="976" ht="15.75" customHeight="1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  <c r="AA976" s="71"/>
      <c r="AB976" s="71"/>
      <c r="AC976" s="71"/>
      <c r="AD976" s="71"/>
      <c r="AE976" s="71"/>
      <c r="AF976" s="71"/>
      <c r="AG976" s="71"/>
      <c r="AH976" s="71"/>
      <c r="AI976" s="71"/>
      <c r="AJ976" s="71"/>
      <c r="AK976" s="71"/>
      <c r="AL976" s="71"/>
      <c r="AM976" s="71"/>
      <c r="AN976" s="71"/>
      <c r="AO976" s="71"/>
      <c r="AP976" s="71"/>
      <c r="AQ976" s="71"/>
      <c r="AR976" s="71"/>
    </row>
    <row r="977" ht="15.75" customHeight="1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  <c r="AA977" s="71"/>
      <c r="AB977" s="71"/>
      <c r="AC977" s="71"/>
      <c r="AD977" s="71"/>
      <c r="AE977" s="71"/>
      <c r="AF977" s="71"/>
      <c r="AG977" s="71"/>
      <c r="AH977" s="71"/>
      <c r="AI977" s="71"/>
      <c r="AJ977" s="71"/>
      <c r="AK977" s="71"/>
      <c r="AL977" s="71"/>
      <c r="AM977" s="71"/>
      <c r="AN977" s="71"/>
      <c r="AO977" s="71"/>
      <c r="AP977" s="71"/>
      <c r="AQ977" s="71"/>
      <c r="AR977" s="71"/>
    </row>
    <row r="978" ht="15.75" customHeight="1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  <c r="AA978" s="71"/>
      <c r="AB978" s="71"/>
      <c r="AC978" s="71"/>
      <c r="AD978" s="71"/>
      <c r="AE978" s="71"/>
      <c r="AF978" s="71"/>
      <c r="AG978" s="71"/>
      <c r="AH978" s="71"/>
      <c r="AI978" s="71"/>
      <c r="AJ978" s="71"/>
      <c r="AK978" s="71"/>
      <c r="AL978" s="71"/>
      <c r="AM978" s="71"/>
      <c r="AN978" s="71"/>
      <c r="AO978" s="71"/>
      <c r="AP978" s="71"/>
      <c r="AQ978" s="71"/>
      <c r="AR978" s="71"/>
    </row>
    <row r="979" ht="15.75" customHeight="1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  <c r="AA979" s="71"/>
      <c r="AB979" s="71"/>
      <c r="AC979" s="71"/>
      <c r="AD979" s="71"/>
      <c r="AE979" s="71"/>
      <c r="AF979" s="71"/>
      <c r="AG979" s="71"/>
      <c r="AH979" s="71"/>
      <c r="AI979" s="71"/>
      <c r="AJ979" s="71"/>
      <c r="AK979" s="71"/>
      <c r="AL979" s="71"/>
      <c r="AM979" s="71"/>
      <c r="AN979" s="71"/>
      <c r="AO979" s="71"/>
      <c r="AP979" s="71"/>
      <c r="AQ979" s="71"/>
      <c r="AR979" s="71"/>
    </row>
    <row r="980" ht="15.75" customHeight="1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  <c r="AL980" s="71"/>
      <c r="AM980" s="71"/>
      <c r="AN980" s="71"/>
      <c r="AO980" s="71"/>
      <c r="AP980" s="71"/>
      <c r="AQ980" s="71"/>
      <c r="AR980" s="71"/>
    </row>
    <row r="981" ht="15.75" customHeight="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  <c r="AL981" s="71"/>
      <c r="AM981" s="71"/>
      <c r="AN981" s="71"/>
      <c r="AO981" s="71"/>
      <c r="AP981" s="71"/>
      <c r="AQ981" s="71"/>
      <c r="AR981" s="71"/>
    </row>
    <row r="982" ht="15.75" customHeight="1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  <c r="AA982" s="71"/>
      <c r="AB982" s="71"/>
      <c r="AC982" s="71"/>
      <c r="AD982" s="71"/>
      <c r="AE982" s="71"/>
      <c r="AF982" s="71"/>
      <c r="AG982" s="71"/>
      <c r="AH982" s="71"/>
      <c r="AI982" s="71"/>
      <c r="AJ982" s="71"/>
      <c r="AK982" s="71"/>
      <c r="AL982" s="71"/>
      <c r="AM982" s="71"/>
      <c r="AN982" s="71"/>
      <c r="AO982" s="71"/>
      <c r="AP982" s="71"/>
      <c r="AQ982" s="71"/>
      <c r="AR982" s="71"/>
    </row>
    <row r="983" ht="15.75" customHeight="1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  <c r="AA983" s="71"/>
      <c r="AB983" s="71"/>
      <c r="AC983" s="71"/>
      <c r="AD983" s="71"/>
      <c r="AE983" s="71"/>
      <c r="AF983" s="71"/>
      <c r="AG983" s="71"/>
      <c r="AH983" s="71"/>
      <c r="AI983" s="71"/>
      <c r="AJ983" s="71"/>
      <c r="AK983" s="71"/>
      <c r="AL983" s="71"/>
      <c r="AM983" s="71"/>
      <c r="AN983" s="71"/>
      <c r="AO983" s="71"/>
      <c r="AP983" s="71"/>
      <c r="AQ983" s="71"/>
      <c r="AR983" s="71"/>
    </row>
    <row r="984" ht="15.75" customHeight="1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  <c r="AA984" s="71"/>
      <c r="AB984" s="71"/>
      <c r="AC984" s="71"/>
      <c r="AD984" s="71"/>
      <c r="AE984" s="71"/>
      <c r="AF984" s="71"/>
      <c r="AG984" s="71"/>
      <c r="AH984" s="71"/>
      <c r="AI984" s="71"/>
      <c r="AJ984" s="71"/>
      <c r="AK984" s="71"/>
      <c r="AL984" s="71"/>
      <c r="AM984" s="71"/>
      <c r="AN984" s="71"/>
      <c r="AO984" s="71"/>
      <c r="AP984" s="71"/>
      <c r="AQ984" s="71"/>
      <c r="AR984" s="71"/>
    </row>
    <row r="985" ht="15.75" customHeight="1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  <c r="AA985" s="71"/>
      <c r="AB985" s="71"/>
      <c r="AC985" s="71"/>
      <c r="AD985" s="71"/>
      <c r="AE985" s="71"/>
      <c r="AF985" s="71"/>
      <c r="AG985" s="71"/>
      <c r="AH985" s="71"/>
      <c r="AI985" s="71"/>
      <c r="AJ985" s="71"/>
      <c r="AK985" s="71"/>
      <c r="AL985" s="71"/>
      <c r="AM985" s="71"/>
      <c r="AN985" s="71"/>
      <c r="AO985" s="71"/>
      <c r="AP985" s="71"/>
      <c r="AQ985" s="71"/>
      <c r="AR985" s="71"/>
    </row>
    <row r="986" ht="15.75" customHeight="1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  <c r="AA986" s="71"/>
      <c r="AB986" s="71"/>
      <c r="AC986" s="71"/>
      <c r="AD986" s="71"/>
      <c r="AE986" s="71"/>
      <c r="AF986" s="71"/>
      <c r="AG986" s="71"/>
      <c r="AH986" s="71"/>
      <c r="AI986" s="71"/>
      <c r="AJ986" s="71"/>
      <c r="AK986" s="71"/>
      <c r="AL986" s="71"/>
      <c r="AM986" s="71"/>
      <c r="AN986" s="71"/>
      <c r="AO986" s="71"/>
      <c r="AP986" s="71"/>
      <c r="AQ986" s="71"/>
      <c r="AR986" s="71"/>
    </row>
    <row r="987" ht="15.75" customHeight="1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  <c r="AA987" s="71"/>
      <c r="AB987" s="71"/>
      <c r="AC987" s="71"/>
      <c r="AD987" s="71"/>
      <c r="AE987" s="71"/>
      <c r="AF987" s="71"/>
      <c r="AG987" s="71"/>
      <c r="AH987" s="71"/>
      <c r="AI987" s="71"/>
      <c r="AJ987" s="71"/>
      <c r="AK987" s="71"/>
      <c r="AL987" s="71"/>
      <c r="AM987" s="71"/>
      <c r="AN987" s="71"/>
      <c r="AO987" s="71"/>
      <c r="AP987" s="71"/>
      <c r="AQ987" s="71"/>
      <c r="AR987" s="71"/>
    </row>
    <row r="988" ht="15.75" customHeight="1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  <c r="AA988" s="71"/>
      <c r="AB988" s="71"/>
      <c r="AC988" s="71"/>
      <c r="AD988" s="71"/>
      <c r="AE988" s="71"/>
      <c r="AF988" s="71"/>
      <c r="AG988" s="71"/>
      <c r="AH988" s="71"/>
      <c r="AI988" s="71"/>
      <c r="AJ988" s="71"/>
      <c r="AK988" s="71"/>
      <c r="AL988" s="71"/>
      <c r="AM988" s="71"/>
      <c r="AN988" s="71"/>
      <c r="AO988" s="71"/>
      <c r="AP988" s="71"/>
      <c r="AQ988" s="71"/>
      <c r="AR988" s="71"/>
    </row>
    <row r="989" ht="15.75" customHeight="1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  <c r="AA989" s="71"/>
      <c r="AB989" s="71"/>
      <c r="AC989" s="71"/>
      <c r="AD989" s="71"/>
      <c r="AE989" s="71"/>
      <c r="AF989" s="71"/>
      <c r="AG989" s="71"/>
      <c r="AH989" s="71"/>
      <c r="AI989" s="71"/>
      <c r="AJ989" s="71"/>
      <c r="AK989" s="71"/>
      <c r="AL989" s="71"/>
      <c r="AM989" s="71"/>
      <c r="AN989" s="71"/>
      <c r="AO989" s="71"/>
      <c r="AP989" s="71"/>
      <c r="AQ989" s="71"/>
      <c r="AR989" s="71"/>
    </row>
    <row r="990" ht="15.75" customHeight="1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  <c r="AA990" s="71"/>
      <c r="AB990" s="71"/>
      <c r="AC990" s="71"/>
      <c r="AD990" s="71"/>
      <c r="AE990" s="71"/>
      <c r="AF990" s="71"/>
      <c r="AG990" s="71"/>
      <c r="AH990" s="71"/>
      <c r="AI990" s="71"/>
      <c r="AJ990" s="71"/>
      <c r="AK990" s="71"/>
      <c r="AL990" s="71"/>
      <c r="AM990" s="71"/>
      <c r="AN990" s="71"/>
      <c r="AO990" s="71"/>
      <c r="AP990" s="71"/>
      <c r="AQ990" s="71"/>
      <c r="AR990" s="71"/>
    </row>
    <row r="991" ht="15.75" customHeight="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  <c r="AA991" s="71"/>
      <c r="AB991" s="71"/>
      <c r="AC991" s="71"/>
      <c r="AD991" s="71"/>
      <c r="AE991" s="71"/>
      <c r="AF991" s="71"/>
      <c r="AG991" s="71"/>
      <c r="AH991" s="71"/>
      <c r="AI991" s="71"/>
      <c r="AJ991" s="71"/>
      <c r="AK991" s="71"/>
      <c r="AL991" s="71"/>
      <c r="AM991" s="71"/>
      <c r="AN991" s="71"/>
      <c r="AO991" s="71"/>
      <c r="AP991" s="71"/>
      <c r="AQ991" s="71"/>
      <c r="AR991" s="71"/>
    </row>
    <row r="992" ht="15.75" customHeight="1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  <c r="AA992" s="71"/>
      <c r="AB992" s="71"/>
      <c r="AC992" s="71"/>
      <c r="AD992" s="71"/>
      <c r="AE992" s="71"/>
      <c r="AF992" s="71"/>
      <c r="AG992" s="71"/>
      <c r="AH992" s="71"/>
      <c r="AI992" s="71"/>
      <c r="AJ992" s="71"/>
      <c r="AK992" s="71"/>
      <c r="AL992" s="71"/>
      <c r="AM992" s="71"/>
      <c r="AN992" s="71"/>
      <c r="AO992" s="71"/>
      <c r="AP992" s="71"/>
      <c r="AQ992" s="71"/>
      <c r="AR992" s="71"/>
    </row>
    <row r="993" ht="15.75" customHeight="1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  <c r="AA993" s="71"/>
      <c r="AB993" s="71"/>
      <c r="AC993" s="71"/>
      <c r="AD993" s="71"/>
      <c r="AE993" s="71"/>
      <c r="AF993" s="71"/>
      <c r="AG993" s="71"/>
      <c r="AH993" s="71"/>
      <c r="AI993" s="71"/>
      <c r="AJ993" s="71"/>
      <c r="AK993" s="71"/>
      <c r="AL993" s="71"/>
      <c r="AM993" s="71"/>
      <c r="AN993" s="71"/>
      <c r="AO993" s="71"/>
      <c r="AP993" s="71"/>
      <c r="AQ993" s="71"/>
      <c r="AR993" s="71"/>
    </row>
    <row r="994" ht="15.75" customHeight="1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  <c r="AA994" s="71"/>
      <c r="AB994" s="71"/>
      <c r="AC994" s="71"/>
      <c r="AD994" s="71"/>
      <c r="AE994" s="71"/>
      <c r="AF994" s="71"/>
      <c r="AG994" s="71"/>
      <c r="AH994" s="71"/>
      <c r="AI994" s="71"/>
      <c r="AJ994" s="71"/>
      <c r="AK994" s="71"/>
      <c r="AL994" s="71"/>
      <c r="AM994" s="71"/>
      <c r="AN994" s="71"/>
      <c r="AO994" s="71"/>
      <c r="AP994" s="71"/>
      <c r="AQ994" s="71"/>
      <c r="AR994" s="71"/>
    </row>
    <row r="995" ht="15.75" customHeight="1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  <c r="AA995" s="71"/>
      <c r="AB995" s="71"/>
      <c r="AC995" s="71"/>
      <c r="AD995" s="71"/>
      <c r="AE995" s="71"/>
      <c r="AF995" s="71"/>
      <c r="AG995" s="71"/>
      <c r="AH995" s="71"/>
      <c r="AI995" s="71"/>
      <c r="AJ995" s="71"/>
      <c r="AK995" s="71"/>
      <c r="AL995" s="71"/>
      <c r="AM995" s="71"/>
      <c r="AN995" s="71"/>
      <c r="AO995" s="71"/>
      <c r="AP995" s="71"/>
      <c r="AQ995" s="71"/>
      <c r="AR995" s="71"/>
    </row>
    <row r="996" ht="15.75" customHeight="1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  <c r="AA996" s="71"/>
      <c r="AB996" s="71"/>
      <c r="AC996" s="71"/>
      <c r="AD996" s="71"/>
      <c r="AE996" s="71"/>
      <c r="AF996" s="71"/>
      <c r="AG996" s="71"/>
      <c r="AH996" s="71"/>
      <c r="AI996" s="71"/>
      <c r="AJ996" s="71"/>
      <c r="AK996" s="71"/>
      <c r="AL996" s="71"/>
      <c r="AM996" s="71"/>
      <c r="AN996" s="71"/>
      <c r="AO996" s="71"/>
      <c r="AP996" s="71"/>
      <c r="AQ996" s="71"/>
      <c r="AR996" s="71"/>
    </row>
    <row r="997" ht="15.75" customHeight="1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  <c r="AA997" s="71"/>
      <c r="AB997" s="71"/>
      <c r="AC997" s="71"/>
      <c r="AD997" s="71"/>
      <c r="AE997" s="71"/>
      <c r="AF997" s="71"/>
      <c r="AG997" s="71"/>
      <c r="AH997" s="71"/>
      <c r="AI997" s="71"/>
      <c r="AJ997" s="71"/>
      <c r="AK997" s="71"/>
      <c r="AL997" s="71"/>
      <c r="AM997" s="71"/>
      <c r="AN997" s="71"/>
      <c r="AO997" s="71"/>
      <c r="AP997" s="71"/>
      <c r="AQ997" s="71"/>
      <c r="AR997" s="71"/>
    </row>
    <row r="998" ht="15.75" customHeight="1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  <c r="AA998" s="71"/>
      <c r="AB998" s="71"/>
      <c r="AC998" s="71"/>
      <c r="AD998" s="71"/>
      <c r="AE998" s="71"/>
      <c r="AF998" s="71"/>
      <c r="AG998" s="71"/>
      <c r="AH998" s="71"/>
      <c r="AI998" s="71"/>
      <c r="AJ998" s="71"/>
      <c r="AK998" s="71"/>
      <c r="AL998" s="71"/>
      <c r="AM998" s="71"/>
      <c r="AN998" s="71"/>
      <c r="AO998" s="71"/>
      <c r="AP998" s="71"/>
      <c r="AQ998" s="71"/>
      <c r="AR998" s="71"/>
    </row>
    <row r="999" ht="15.75" customHeight="1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  <c r="AA999" s="71"/>
      <c r="AB999" s="71"/>
      <c r="AC999" s="71"/>
      <c r="AD999" s="71"/>
      <c r="AE999" s="71"/>
      <c r="AF999" s="71"/>
      <c r="AG999" s="71"/>
      <c r="AH999" s="71"/>
      <c r="AI999" s="71"/>
      <c r="AJ999" s="71"/>
      <c r="AK999" s="71"/>
      <c r="AL999" s="71"/>
      <c r="AM999" s="71"/>
      <c r="AN999" s="71"/>
      <c r="AO999" s="71"/>
      <c r="AP999" s="71"/>
      <c r="AQ999" s="71"/>
      <c r="AR999" s="71"/>
    </row>
    <row r="1000" ht="15.75" customHeight="1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  <c r="AA1000" s="71"/>
      <c r="AB1000" s="71"/>
      <c r="AC1000" s="71"/>
      <c r="AD1000" s="71"/>
      <c r="AE1000" s="71"/>
      <c r="AF1000" s="71"/>
      <c r="AG1000" s="71"/>
      <c r="AH1000" s="71"/>
      <c r="AI1000" s="71"/>
      <c r="AJ1000" s="71"/>
      <c r="AK1000" s="71"/>
      <c r="AL1000" s="71"/>
      <c r="AM1000" s="71"/>
      <c r="AN1000" s="71"/>
      <c r="AO1000" s="71"/>
      <c r="AP1000" s="71"/>
      <c r="AQ1000" s="71"/>
      <c r="AR1000" s="71"/>
    </row>
  </sheetData>
  <mergeCells count="7">
    <mergeCell ref="A1:L1"/>
    <mergeCell ref="M1:P1"/>
    <mergeCell ref="T1:AA1"/>
    <mergeCell ref="AB1:AH1"/>
    <mergeCell ref="AI1:AJ1"/>
    <mergeCell ref="AK1:AL1"/>
    <mergeCell ref="AM1:AR1"/>
  </mergeCells>
  <conditionalFormatting sqref="AR3:AR15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0.0"/>
    <col customWidth="1" min="2" max="2" width="16.0"/>
    <col customWidth="1" min="3" max="3" width="42.0"/>
    <col customWidth="1" min="4" max="6" width="8.63"/>
  </cols>
  <sheetData>
    <row r="1" ht="31.5" customHeight="1">
      <c r="A1" s="1" t="s">
        <v>0</v>
      </c>
      <c r="B1" s="2"/>
      <c r="C1" s="3"/>
    </row>
    <row r="2" ht="14.25" customHeight="1">
      <c r="A2" s="4"/>
      <c r="B2" s="4"/>
      <c r="C2" s="4"/>
    </row>
    <row r="3" ht="14.25" customHeight="1">
      <c r="A3" s="5" t="s">
        <v>1</v>
      </c>
      <c r="B3" s="5" t="s">
        <v>2</v>
      </c>
      <c r="C3" s="5" t="s">
        <v>3</v>
      </c>
    </row>
    <row r="4" ht="14.25" customHeight="1">
      <c r="A4" s="6" t="s">
        <v>4</v>
      </c>
      <c r="B4" s="7">
        <v>1150.0</v>
      </c>
      <c r="C4" s="8" t="s">
        <v>5</v>
      </c>
    </row>
    <row r="5" ht="14.25" customHeight="1">
      <c r="A5" s="9" t="s">
        <v>6</v>
      </c>
      <c r="B5" s="10">
        <v>50.0</v>
      </c>
      <c r="C5" s="8" t="s">
        <v>7</v>
      </c>
    </row>
    <row r="6" ht="14.25" customHeight="1">
      <c r="A6" s="9" t="s">
        <v>8</v>
      </c>
      <c r="B6" s="10">
        <v>0.55</v>
      </c>
      <c r="C6" s="8" t="s">
        <v>9</v>
      </c>
    </row>
    <row r="7" ht="14.25" customHeight="1">
      <c r="A7" s="9" t="s">
        <v>10</v>
      </c>
      <c r="B7" s="10">
        <v>0.45</v>
      </c>
      <c r="C7" s="8" t="s">
        <v>11</v>
      </c>
    </row>
    <row r="8" ht="14.25" customHeight="1">
      <c r="A8" s="9" t="s">
        <v>12</v>
      </c>
      <c r="B8" s="11">
        <v>0.15</v>
      </c>
      <c r="C8" s="8" t="s">
        <v>11</v>
      </c>
    </row>
    <row r="9" ht="14.25" customHeight="1">
      <c r="A9" s="8"/>
      <c r="B9" s="8"/>
      <c r="C9" s="8"/>
    </row>
    <row r="10" ht="14.25" customHeight="1">
      <c r="A10" s="12" t="s">
        <v>13</v>
      </c>
      <c r="B10" s="13"/>
      <c r="C10" s="14"/>
    </row>
    <row r="11" ht="14.25" customHeight="1">
      <c r="A11" s="8"/>
      <c r="B11" s="8"/>
      <c r="C11" s="8"/>
    </row>
    <row r="12" ht="14.25" customHeight="1">
      <c r="A12" s="15" t="s">
        <v>14</v>
      </c>
      <c r="B12" s="15" t="s">
        <v>15</v>
      </c>
      <c r="C12" s="15" t="s">
        <v>16</v>
      </c>
    </row>
    <row r="13" ht="14.25" customHeight="1">
      <c r="A13" s="16">
        <v>25.0</v>
      </c>
      <c r="B13" s="17">
        <v>0.3</v>
      </c>
      <c r="C13" s="16" t="s">
        <v>17</v>
      </c>
    </row>
    <row r="14" ht="14.25" customHeight="1">
      <c r="A14" s="16">
        <v>75.0</v>
      </c>
      <c r="B14" s="17">
        <v>0.3</v>
      </c>
      <c r="C14" s="16" t="s">
        <v>17</v>
      </c>
    </row>
    <row r="15" ht="14.25" customHeight="1">
      <c r="A15" s="16">
        <v>150.0</v>
      </c>
      <c r="B15" s="17">
        <v>0.25</v>
      </c>
      <c r="C15" s="16" t="s">
        <v>18</v>
      </c>
    </row>
    <row r="16" ht="14.25" customHeight="1">
      <c r="A16" s="16">
        <v>250.0</v>
      </c>
      <c r="B16" s="17">
        <v>0.15</v>
      </c>
      <c r="C16" s="16" t="s">
        <v>19</v>
      </c>
    </row>
    <row r="17" ht="14.25" customHeight="1">
      <c r="A17" s="18">
        <v>0.0</v>
      </c>
      <c r="B17" s="19">
        <v>0.0</v>
      </c>
      <c r="C17" s="16" t="s">
        <v>20</v>
      </c>
    </row>
    <row r="18" ht="14.25" customHeight="1">
      <c r="A18" s="18">
        <v>0.0</v>
      </c>
      <c r="B18" s="19">
        <v>0.0</v>
      </c>
      <c r="C18" s="16" t="s">
        <v>21</v>
      </c>
    </row>
    <row r="19" ht="14.25" customHeight="1">
      <c r="A19" s="18">
        <v>0.0</v>
      </c>
      <c r="B19" s="19">
        <v>0.0</v>
      </c>
      <c r="C19" s="16" t="s">
        <v>22</v>
      </c>
    </row>
    <row r="20" ht="14.25" customHeight="1">
      <c r="A20" s="16" t="s">
        <v>23</v>
      </c>
      <c r="B20" s="19">
        <f>SUM(B13:B19)</f>
        <v>1</v>
      </c>
      <c r="C20" s="16"/>
    </row>
    <row r="21" ht="14.25" customHeight="1">
      <c r="A21" s="8"/>
      <c r="B21" s="8"/>
      <c r="C21" s="8"/>
    </row>
    <row r="22" ht="14.25" customHeight="1">
      <c r="A22" s="12" t="s">
        <v>25</v>
      </c>
      <c r="B22" s="13"/>
      <c r="C22" s="14"/>
    </row>
    <row r="23" ht="14.25" customHeight="1">
      <c r="A23" s="15" t="s">
        <v>26</v>
      </c>
      <c r="B23" s="15" t="s">
        <v>15</v>
      </c>
      <c r="C23" s="15" t="s">
        <v>28</v>
      </c>
    </row>
    <row r="24" ht="14.25" customHeight="1">
      <c r="A24" s="16" t="s">
        <v>29</v>
      </c>
      <c r="B24" s="21">
        <v>1.0</v>
      </c>
      <c r="C24" s="16" t="s">
        <v>11</v>
      </c>
    </row>
    <row r="25" ht="14.25" customHeight="1">
      <c r="A25" s="16" t="s">
        <v>30</v>
      </c>
      <c r="B25" s="21">
        <v>-20.0</v>
      </c>
      <c r="C25" s="16" t="s">
        <v>9</v>
      </c>
    </row>
    <row r="26" ht="14.25" customHeight="1">
      <c r="A26" s="16" t="s">
        <v>31</v>
      </c>
      <c r="B26" s="21">
        <v>-0.8</v>
      </c>
      <c r="C26" s="16" t="s">
        <v>9</v>
      </c>
    </row>
    <row r="27" ht="14.25" customHeight="1">
      <c r="A27" s="16" t="s">
        <v>32</v>
      </c>
      <c r="B27" s="21">
        <v>-0.6</v>
      </c>
      <c r="C27" s="16" t="s">
        <v>9</v>
      </c>
    </row>
    <row r="28" ht="14.25" customHeight="1">
      <c r="A28" s="16" t="s">
        <v>33</v>
      </c>
      <c r="B28" s="21">
        <v>-10.0</v>
      </c>
      <c r="C28" s="16" t="s">
        <v>9</v>
      </c>
    </row>
    <row r="29" ht="14.25" customHeight="1">
      <c r="A29" s="16" t="s">
        <v>34</v>
      </c>
      <c r="B29" s="21">
        <v>10.0</v>
      </c>
      <c r="C29" s="16" t="s">
        <v>35</v>
      </c>
    </row>
    <row r="30" ht="14.25" customHeight="1">
      <c r="A30" s="16" t="s">
        <v>36</v>
      </c>
      <c r="B30" s="24">
        <v>0.005</v>
      </c>
      <c r="C30" s="16" t="str">
        <f>_xludf.CONCAT("1 point per +", 1/B30, " vel")</f>
        <v>#NAME?</v>
      </c>
    </row>
    <row r="31" ht="14.25" customHeight="1">
      <c r="A31" s="16" t="s">
        <v>40</v>
      </c>
      <c r="B31" s="21">
        <v>10.0</v>
      </c>
      <c r="C31" s="16" t="s">
        <v>35</v>
      </c>
    </row>
    <row r="32" ht="14.25" customHeight="1">
      <c r="A32" s="18" t="s">
        <v>42</v>
      </c>
      <c r="B32" s="28">
        <v>-5.0</v>
      </c>
      <c r="C32" s="16"/>
    </row>
    <row r="33" ht="14.25" customHeight="1">
      <c r="A33" s="16" t="s">
        <v>43</v>
      </c>
      <c r="B33" s="21">
        <v>0.0</v>
      </c>
      <c r="C33" s="16" t="s">
        <v>45</v>
      </c>
    </row>
    <row r="34" ht="14.25" customHeight="1">
      <c r="A34" s="8"/>
      <c r="B34" s="30"/>
      <c r="C34" s="8"/>
    </row>
    <row r="35" ht="14.25" customHeight="1">
      <c r="A35" s="12" t="s">
        <v>46</v>
      </c>
      <c r="B35" s="13"/>
      <c r="C35" s="14"/>
    </row>
    <row r="36" ht="14.25" customHeight="1">
      <c r="A36" s="31" t="s">
        <v>48</v>
      </c>
      <c r="B36" s="32">
        <v>1.5</v>
      </c>
      <c r="C36" s="31" t="s">
        <v>49</v>
      </c>
    </row>
    <row r="37" ht="14.25" customHeight="1">
      <c r="A37" s="31" t="s">
        <v>50</v>
      </c>
      <c r="B37" s="32">
        <v>-2.0</v>
      </c>
      <c r="C37" s="31" t="s">
        <v>51</v>
      </c>
    </row>
    <row r="38" ht="14.25" customHeight="1">
      <c r="A38" s="31" t="s">
        <v>52</v>
      </c>
      <c r="B38" s="32">
        <v>3.0</v>
      </c>
      <c r="C38" s="31" t="s">
        <v>53</v>
      </c>
    </row>
    <row r="39" ht="14.25" customHeight="1">
      <c r="A39" s="34" t="s">
        <v>54</v>
      </c>
      <c r="B39" s="35">
        <v>4.0</v>
      </c>
      <c r="C39" s="34" t="s">
        <v>53</v>
      </c>
    </row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C1"/>
    <mergeCell ref="A10:C10"/>
    <mergeCell ref="A22:C22"/>
    <mergeCell ref="A35:C35"/>
  </mergeCells>
  <printOptions/>
  <pageMargins bottom="0.75" footer="0.0" header="0.0" left="0.7" right="0.7" top="0.75"/>
  <pageSetup orientation="landscape"/>
  <drawing r:id="rId2"/>
  <legacyDrawing r:id="rId3"/>
</worksheet>
</file>