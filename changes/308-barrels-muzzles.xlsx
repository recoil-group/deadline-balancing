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ifan\Documents\deadline-balancing\changes\"/>
    </mc:Choice>
  </mc:AlternateContent>
  <xr:revisionPtr revIDLastSave="0" documentId="13_ncr:1_{E0374E29-5ECD-4A7B-AB50-0DA1EC1FE7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308-barrels-muzz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" i="1" l="1"/>
  <c r="N58" i="1"/>
  <c r="N57" i="1"/>
  <c r="N55" i="1"/>
  <c r="N63" i="1"/>
  <c r="N62" i="1"/>
  <c r="Q46" i="1"/>
  <c r="Q45" i="1"/>
  <c r="Q44" i="1"/>
  <c r="Q48" i="1"/>
  <c r="Q43" i="1"/>
  <c r="Q63" i="1"/>
  <c r="N64" i="1"/>
  <c r="N65" i="1"/>
  <c r="N66" i="1"/>
  <c r="N67" i="1"/>
  <c r="N68" i="1"/>
  <c r="Q61" i="1"/>
  <c r="N61" i="1"/>
  <c r="Q60" i="1"/>
  <c r="N60" i="1"/>
  <c r="Q59" i="1"/>
  <c r="Q58" i="1"/>
  <c r="Q57" i="1"/>
  <c r="Q56" i="1"/>
  <c r="Q55" i="1"/>
  <c r="Q54" i="1"/>
  <c r="Q53" i="1"/>
  <c r="N53" i="1"/>
  <c r="Q52" i="1"/>
  <c r="N52" i="1"/>
  <c r="Q51" i="1"/>
  <c r="N51" i="1"/>
  <c r="Q50" i="1"/>
  <c r="N50" i="1"/>
  <c r="Q49" i="1"/>
  <c r="N49" i="1"/>
  <c r="N48" i="1"/>
  <c r="V47" i="1"/>
  <c r="N47" i="1"/>
  <c r="N46" i="1"/>
  <c r="N45" i="1"/>
  <c r="N44" i="1"/>
  <c r="N43" i="1"/>
  <c r="N42" i="1"/>
  <c r="V41" i="1"/>
  <c r="N41" i="1"/>
  <c r="V40" i="1"/>
  <c r="N40" i="1"/>
  <c r="N39" i="1"/>
  <c r="V38" i="1"/>
  <c r="N38" i="1"/>
  <c r="N37" i="1"/>
  <c r="V36" i="1"/>
  <c r="N36" i="1"/>
  <c r="V35" i="1"/>
  <c r="N35" i="1"/>
  <c r="V34" i="1"/>
  <c r="N34" i="1"/>
  <c r="V33" i="1"/>
  <c r="N33" i="1"/>
  <c r="V32" i="1"/>
  <c r="N32" i="1"/>
  <c r="V31" i="1"/>
  <c r="N31" i="1"/>
  <c r="V30" i="1"/>
  <c r="N30" i="1"/>
  <c r="V29" i="1"/>
  <c r="N29" i="1"/>
  <c r="V28" i="1"/>
  <c r="N28" i="1"/>
  <c r="V27" i="1"/>
  <c r="N27" i="1"/>
  <c r="V26" i="1"/>
  <c r="N26" i="1"/>
  <c r="V25" i="1"/>
  <c r="N25" i="1"/>
  <c r="V24" i="1"/>
  <c r="N24" i="1"/>
  <c r="V23" i="1"/>
  <c r="N23" i="1"/>
  <c r="V22" i="1"/>
  <c r="N22" i="1"/>
  <c r="V21" i="1"/>
  <c r="N21" i="1"/>
  <c r="V20" i="1"/>
  <c r="N20" i="1"/>
  <c r="V19" i="1"/>
  <c r="N19" i="1"/>
  <c r="V18" i="1"/>
  <c r="N18" i="1"/>
  <c r="V17" i="1"/>
  <c r="N17" i="1"/>
  <c r="V16" i="1"/>
  <c r="N16" i="1"/>
  <c r="V15" i="1"/>
  <c r="N15" i="1"/>
  <c r="V14" i="1"/>
  <c r="N14" i="1"/>
  <c r="V13" i="1"/>
  <c r="N13" i="1"/>
  <c r="V12" i="1"/>
  <c r="N12" i="1"/>
  <c r="V11" i="1"/>
  <c r="N11" i="1"/>
  <c r="V10" i="1"/>
  <c r="N10" i="1"/>
  <c r="V9" i="1"/>
  <c r="N9" i="1"/>
  <c r="V8" i="1"/>
  <c r="N8" i="1"/>
  <c r="V7" i="1"/>
  <c r="N7" i="1"/>
  <c r="V6" i="1"/>
  <c r="N6" i="1"/>
  <c r="V5" i="1"/>
  <c r="N5" i="1"/>
  <c r="V4" i="1"/>
  <c r="N4" i="1"/>
  <c r="N3" i="1"/>
  <c r="N56" i="1" l="1"/>
  <c r="N54" i="1"/>
</calcChain>
</file>

<file path=xl/sharedStrings.xml><?xml version="1.0" encoding="utf-8"?>
<sst xmlns="http://schemas.openxmlformats.org/spreadsheetml/2006/main" count="138" uniqueCount="137">
  <si>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</si>
  <si>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</si>
  <si>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</si>
  <si>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</si>
  <si>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</si>
  <si>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</si>
  <si>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</si>
  <si>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</si>
  <si>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</si>
  <si>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</si>
  <si>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</si>
  <si>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buck_bullet_deviation</t>
  </si>
  <si>
    <t>fire_rate</t>
  </si>
  <si>
    <t>price</t>
  </si>
  <si>
    <t>strength</t>
  </si>
  <si>
    <t>irl weight (oz)</t>
  </si>
  <si>
    <t>converted weight</t>
  </si>
  <si>
    <t>base</t>
  </si>
  <si>
    <t>length</t>
  </si>
  <si>
    <t>mod</t>
  </si>
  <si>
    <t>AK308</t>
  </si>
  <si>
    <t>ak308_std_415mm_barrel</t>
  </si>
  <si>
    <t>AK-308 415mm 7.62x51</t>
  </si>
  <si>
    <t>custom_ak308_7.62x51_415mm_threaded_barrel</t>
  </si>
  <si>
    <t>Custom AK-308 415mm Threaded 7.62x51</t>
  </si>
  <si>
    <t>ak308_7.62x51_muzzle_brake</t>
  </si>
  <si>
    <t>G3</t>
  </si>
  <si>
    <t>hk_g3_406mm_barrel</t>
  </si>
  <si>
    <t>hk_g3_457mm_barrel</t>
  </si>
  <si>
    <t>hk_msg90a1_threaded_600mm_barrel</t>
  </si>
  <si>
    <t>hk_psg1_bull_650mm_barrel</t>
  </si>
  <si>
    <t>hk_bird_cage_flash_hider_m15x1rh</t>
  </si>
  <si>
    <t>SA58</t>
  </si>
  <si>
    <t>SCARH</t>
  </si>
  <si>
    <t>fn_fal_austrian_7.62x51_stg58_flash_hider</t>
  </si>
  <si>
    <t>fn_fal_7.62x51_belgian_flash_hider</t>
  </si>
  <si>
    <t>lantac_dgn762b_asr_muzzle_brake</t>
  </si>
  <si>
    <t>rhodesian_halbek_muzzle_device</t>
  </si>
  <si>
    <t>Rhodesian Reproduction Halbek</t>
  </si>
  <si>
    <t>tiger_rock_ar10_7.62x51_barrett_style_muzzle_brake_with_jam_nut</t>
  </si>
  <si>
    <t>sig_srd762ti_suppressor</t>
  </si>
  <si>
    <t>odin_works_tiduro_.338_modular_no_baffle_suppressor</t>
  </si>
  <si>
    <t>odin_works_tiduro_.338_modular_3_baffle_suppressor</t>
  </si>
  <si>
    <t>odin_works_tiduro_.338_modular_5_baffle_suppressor</t>
  </si>
  <si>
    <t>odin_works_tiduro_modular_compensator</t>
  </si>
  <si>
    <t>odin_works_tiduro_thread_adapter_module</t>
  </si>
  <si>
    <t>ips_7.62x51_1inch_barrel_extension</t>
  </si>
  <si>
    <t>ips_7.62x51_2inch_barrel_extension</t>
  </si>
  <si>
    <t>ips_7.62x51_4inch_barrel_extension</t>
  </si>
  <si>
    <t>ferro_ordnance_mc51_211mm_7.62x51_barrel</t>
  </si>
  <si>
    <t>ferro_ordnance_mc51k_145mm_7.62x51_barrel</t>
  </si>
  <si>
    <t>ferro_ordnance_mc51sd_125mm_7.62x51_barrel</t>
  </si>
  <si>
    <t>ferro_ordnance_mc51sd_suppressor</t>
  </si>
  <si>
    <t>tubewerx_m15x1rh_to_5_8x24_thread_adapter</t>
  </si>
  <si>
    <t>rsa_sa58_210mm_premium_pistol_barrel</t>
  </si>
  <si>
    <t>rsa_sa58_305mm_barrel</t>
  </si>
  <si>
    <t>rsa_sa58_330mm_barrel</t>
  </si>
  <si>
    <t>rsa_sa58_406mm_fluted_barrel</t>
  </si>
  <si>
    <t>rsa_sa58_406mm_barrel</t>
  </si>
  <si>
    <t>rsa_sa58_457mm_barrel</t>
  </si>
  <si>
    <t>rsa_sa58_533mm_barrel</t>
  </si>
  <si>
    <t>hi_dog_hdd_tactical_scarh_267mm_7.62x51_barrel</t>
  </si>
  <si>
    <t>aft_mk_17_330mm_barrel</t>
  </si>
  <si>
    <t>aft_mk_17_406mm_barrel</t>
  </si>
  <si>
    <t>barreltech_scar20_spiral_406mm_threaded_barrel</t>
  </si>
  <si>
    <t>aft_mk_17_508mm_barrel</t>
  </si>
  <si>
    <t>AFT Mk20 508mm</t>
  </si>
  <si>
    <t>barreltech_scar20_spiral_508mm_threaded_barrel</t>
  </si>
  <si>
    <t>aft_mk20_508mm_barrel</t>
  </si>
  <si>
    <t>rsa_3prong_trident_7.62x51_flash_hider</t>
  </si>
  <si>
    <t>RSA 3-Prong Trident 7.62x51</t>
  </si>
  <si>
    <t>rsa_warz_series_7.62x51_flash_hider</t>
  </si>
  <si>
    <t>RSA WarZ Series 7.62x51</t>
  </si>
  <si>
    <t>aft17_7.62x51_3prong_european_flash_hider</t>
  </si>
  <si>
    <t>ewc_scar_sd_blackout_51_tooth_flashhider_supp_mount</t>
  </si>
  <si>
    <t>centrefire_socom762_sfmb_muzzle_brake</t>
  </si>
  <si>
    <t>smite_industries_jcomp_gen2_7.62x51_muzzle_brake</t>
  </si>
  <si>
    <t>centrefire_warden_blast_regulator</t>
  </si>
  <si>
    <t>smite_industries_oppressor_blast_shield</t>
  </si>
  <si>
    <t>spiderweb_bpr_suppressor_system_bpr_1425</t>
  </si>
  <si>
    <t>spiderweb_bpr_suppressor_system_srm_6</t>
  </si>
  <si>
    <t>suppressors_inc_osprey45_gen1_45acp_suppressor_7.62x51_piston</t>
  </si>
  <si>
    <t>suppressors_inc_osprey45_gen1_45acp_suppressor_7.62x51_piston_flipped</t>
  </si>
  <si>
    <t>suppressors_inc_omega_300_suppressor</t>
  </si>
  <si>
    <t>suppressors_inc_qd_asr_mount</t>
  </si>
  <si>
    <t>RSA SG-58</t>
  </si>
  <si>
    <t>Kazarov Group AK-308</t>
  </si>
  <si>
    <t>KF KG-31</t>
  </si>
  <si>
    <t>CTR 91 406mm 7.62x51</t>
  </si>
  <si>
    <t>CTR 91 457mm 7.62x51</t>
  </si>
  <si>
    <t>MKG90A1 Threaded 600mm 7.62x51</t>
  </si>
  <si>
    <t>SKG-31 Bull 650mm 7.62x51</t>
  </si>
  <si>
    <t>Ferro Ordnance Group KG-51C 211mm 7.62x51</t>
  </si>
  <si>
    <t>Ferro Ordnance Group KG-51C 145mm 7.62x51</t>
  </si>
  <si>
    <t>Ferro Ordnance Group KG-51SD 125mm 7.62x51</t>
  </si>
  <si>
    <t>Ferro Ordnance Group KG-51SD</t>
  </si>
  <si>
    <t>Tubewerx M15x1RH to 5/8x24 Thread</t>
  </si>
  <si>
    <t>Bird Cage Style M15x1RH 7.62x51 NATO</t>
  </si>
  <si>
    <t>RSA SA-58 8.25" Premium Pistol</t>
  </si>
  <si>
    <t>RSA SA-58 12"</t>
  </si>
  <si>
    <t>RSA SA-58 13"</t>
  </si>
  <si>
    <t>RSA SA-58 16" Fluted</t>
  </si>
  <si>
    <t>RSA SA-58 16"</t>
  </si>
  <si>
    <t>RSA SA-58 18"</t>
  </si>
  <si>
    <t>RSA SA-58 21"</t>
  </si>
  <si>
    <t>AFT MK-17</t>
  </si>
  <si>
    <t>Hi-Dog HDD Tactical SCAR-H 7.62x51 267mm</t>
  </si>
  <si>
    <t>AFT MK-17 330mm</t>
  </si>
  <si>
    <t>AFT MK-17 406mm</t>
  </si>
  <si>
    <t>Barreltech AFT 20 Spiral 16" Threaded</t>
  </si>
  <si>
    <t>AFT MK-17 508mm</t>
  </si>
  <si>
    <t>Barreltech AFT 20 Spiral 20" Threaded</t>
  </si>
  <si>
    <t>RSA SA-58 Austrian STG58 7.62x51</t>
  </si>
  <si>
    <t>RSA SA-58 Belgian Style 7.62x51</t>
  </si>
  <si>
    <t>AF Tournai Mk17 .308 3-Prong European</t>
  </si>
  <si>
    <t>EWC AFT-SD Blackout 51-Tooth Flash Hider</t>
  </si>
  <si>
    <t>PGTac DGN762B-ASR</t>
  </si>
  <si>
    <t>Centrefire SOCOM 7.62 SFMB</t>
  </si>
  <si>
    <t>Smite Industries JCOMP Gen2 7.62x51</t>
  </si>
  <si>
    <t>Panther Rock AR-10 .308 Barrett Style Muzzle Brake with Jam Nut</t>
  </si>
  <si>
    <t>Centrefire Warden Fast-Attach</t>
  </si>
  <si>
    <t>Smite Industries Oppressor Blast Shield</t>
  </si>
  <si>
    <t>SRD762Ti</t>
  </si>
  <si>
    <t>Spiderweb BPR System BPR-1425</t>
  </si>
  <si>
    <t>Spiderweb BPR System SRM-6</t>
  </si>
  <si>
    <t>Suppressors Inc. Osprey 45 Gen 1 .45ACP w/ 7.62x51 Piston</t>
  </si>
  <si>
    <t>Suppressors Inc. Osprey 45 Gen 1 .45ACP w/ 7.62x51 Piston Flipped</t>
  </si>
  <si>
    <t>Odin Works Tiduro .338 Modular No Baffle</t>
  </si>
  <si>
    <t>Odin Works Tiduro .338 Modular 3 Baffle</t>
  </si>
  <si>
    <t>Odin Works Tiduro .338 Modular 5 Baffle</t>
  </si>
  <si>
    <t>Odin Works Tiduro Modular</t>
  </si>
  <si>
    <t>Odin Works Tiduro Thread Adapter Module</t>
  </si>
  <si>
    <t>Suppressors Inc. OMEGA 300</t>
  </si>
  <si>
    <t>Suppressors Inc. QD ASR Mount</t>
  </si>
  <si>
    <t>IPS 1" 7.62x51</t>
  </si>
  <si>
    <t>IPS 2" 7.62x51</t>
  </si>
  <si>
    <t>IPS 4" 7.62x51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</si>
</sst>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1">
    <dxf>
      <fill>
        <patternFill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7"/>
  <sheetViews>
    <sheetView tabSelected="1" zoomScaleNormal="100" workbookViewId="0">
      <selection activeCell="H4" sqref="H4"/>
    </sheetView>
  </sheetViews>
  <sheetFormatPr defaultColWidth="14.42578125" defaultRowHeight="15" x14ac:dyDescent="0.25"/>
  <cols>
    <col min="1" max="1" width="27" customWidth="1"/>
    <col min="2" max="2" width="57.28515625" customWidth="1"/>
    <col min="3" max="22" width="7.7109375" customWidth="1"/>
  </cols>
  <sheetData>
    <row r="1" spans="1:22" x14ac:dyDescent="0.25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14</v>
      </c>
      <c r="O2" s="1"/>
      <c r="P2" s="1" t="s">
        <v>15</v>
      </c>
      <c r="Q2" s="1" t="s">
        <v>16</v>
      </c>
      <c r="R2" s="1"/>
      <c r="S2" s="1" t="s">
        <v>17</v>
      </c>
      <c r="T2" s="1" t="s">
        <v>18</v>
      </c>
      <c r="U2" s="1" t="s">
        <v>19</v>
      </c>
      <c r="V2" s="1"/>
    </row>
    <row r="3" spans="1:22" x14ac:dyDescent="0.25">
      <c r="A3" t="s">
        <v>20</v>
      </c>
      <c r="B3" t="s">
        <v>86</v>
      </c>
      <c r="C3">
        <v>20</v>
      </c>
      <c r="D3">
        <v>0</v>
      </c>
      <c r="E3">
        <v>80</v>
      </c>
      <c r="F3">
        <v>100</v>
      </c>
      <c r="G3">
        <v>0</v>
      </c>
      <c r="H3">
        <v>0.75</v>
      </c>
      <c r="I3">
        <v>1</v>
      </c>
      <c r="J3">
        <v>1900</v>
      </c>
      <c r="M3">
        <v>65000</v>
      </c>
      <c r="N3" s="2">
        <f t="shared" ref="N3:N68" si="0">C3-D3*20-E3*0.8-F3*0.6-H3*15+I3*40+J3/300</f>
        <v>-68.916666666666671</v>
      </c>
      <c r="O3" s="1"/>
      <c r="P3" s="1"/>
      <c r="Q3" s="1"/>
      <c r="R3" s="1"/>
    </row>
    <row r="4" spans="1:22" x14ac:dyDescent="0.25">
      <c r="A4" t="s">
        <v>21</v>
      </c>
      <c r="B4" t="s">
        <v>22</v>
      </c>
      <c r="C4">
        <v>0</v>
      </c>
      <c r="D4">
        <v>1.45</v>
      </c>
      <c r="E4">
        <v>0</v>
      </c>
      <c r="F4">
        <v>0</v>
      </c>
      <c r="H4">
        <v>0</v>
      </c>
      <c r="I4">
        <v>0</v>
      </c>
      <c r="J4">
        <v>0</v>
      </c>
      <c r="M4">
        <v>0</v>
      </c>
      <c r="N4" s="2">
        <f t="shared" si="0"/>
        <v>-29</v>
      </c>
      <c r="O4" s="1"/>
      <c r="P4" s="1"/>
      <c r="Q4" s="1"/>
      <c r="R4" s="1"/>
      <c r="S4" s="1">
        <v>0.3</v>
      </c>
      <c r="T4" s="1">
        <v>16.3386</v>
      </c>
      <c r="U4" s="1"/>
      <c r="V4" s="1">
        <f t="shared" ref="V4:V36" si="1">S4+T4*0.038+U4</f>
        <v>0.92086679999999999</v>
      </c>
    </row>
    <row r="5" spans="1:22" x14ac:dyDescent="0.25">
      <c r="A5" t="s">
        <v>23</v>
      </c>
      <c r="B5" t="s">
        <v>24</v>
      </c>
      <c r="C5">
        <v>-1</v>
      </c>
      <c r="D5">
        <v>1.45</v>
      </c>
      <c r="E5">
        <v>1</v>
      </c>
      <c r="F5">
        <v>1</v>
      </c>
      <c r="H5">
        <v>0.1</v>
      </c>
      <c r="I5">
        <v>0</v>
      </c>
      <c r="J5">
        <v>0</v>
      </c>
      <c r="M5">
        <v>1000</v>
      </c>
      <c r="N5" s="2">
        <f t="shared" si="0"/>
        <v>-32.900000000000006</v>
      </c>
      <c r="O5" s="1"/>
      <c r="P5" s="1"/>
      <c r="Q5" s="1"/>
      <c r="R5" s="1"/>
      <c r="S5" s="1">
        <v>0.3</v>
      </c>
      <c r="T5" s="1">
        <v>16.3386</v>
      </c>
      <c r="U5" s="1"/>
      <c r="V5" s="1">
        <f t="shared" si="1"/>
        <v>0.92086679999999999</v>
      </c>
    </row>
    <row r="6" spans="1:22" ht="15.75" customHeight="1" x14ac:dyDescent="0.25">
      <c r="A6" t="s">
        <v>25</v>
      </c>
      <c r="B6" t="s">
        <v>86</v>
      </c>
      <c r="C6">
        <v>-1</v>
      </c>
      <c r="D6">
        <v>0.06</v>
      </c>
      <c r="E6">
        <v>-11</v>
      </c>
      <c r="F6">
        <v>-14</v>
      </c>
      <c r="H6">
        <v>0.05</v>
      </c>
      <c r="I6">
        <v>0</v>
      </c>
      <c r="J6">
        <v>50</v>
      </c>
      <c r="M6">
        <v>0</v>
      </c>
      <c r="N6" s="2">
        <f t="shared" si="0"/>
        <v>14.416666666666666</v>
      </c>
      <c r="O6" s="1"/>
      <c r="P6" s="1"/>
      <c r="Q6" s="1"/>
      <c r="R6" s="1"/>
      <c r="S6" s="1"/>
      <c r="T6" s="1"/>
      <c r="U6" s="1"/>
      <c r="V6" s="1">
        <f t="shared" si="1"/>
        <v>0</v>
      </c>
    </row>
    <row r="7" spans="1:22" ht="15.75" customHeight="1" x14ac:dyDescent="0.25">
      <c r="N7" s="2">
        <f t="shared" si="0"/>
        <v>0</v>
      </c>
      <c r="O7" s="1"/>
      <c r="P7" s="1"/>
      <c r="Q7" s="1"/>
      <c r="R7" s="1"/>
      <c r="S7" s="1"/>
      <c r="T7" s="1"/>
      <c r="U7" s="1"/>
      <c r="V7" s="1">
        <f t="shared" si="1"/>
        <v>0</v>
      </c>
    </row>
    <row r="8" spans="1:22" ht="15.75" customHeight="1" x14ac:dyDescent="0.25">
      <c r="A8" t="s">
        <v>26</v>
      </c>
      <c r="B8" t="s">
        <v>87</v>
      </c>
      <c r="C8">
        <v>25</v>
      </c>
      <c r="D8">
        <v>0</v>
      </c>
      <c r="E8">
        <v>70</v>
      </c>
      <c r="F8">
        <v>100</v>
      </c>
      <c r="G8">
        <v>0</v>
      </c>
      <c r="H8">
        <v>0.55000000000000004</v>
      </c>
      <c r="I8">
        <v>1</v>
      </c>
      <c r="J8">
        <v>1900</v>
      </c>
      <c r="M8">
        <v>30000</v>
      </c>
      <c r="N8" s="2">
        <f t="shared" si="0"/>
        <v>-52.916666666666664</v>
      </c>
      <c r="O8" s="1"/>
      <c r="P8" s="1"/>
      <c r="Q8" s="1"/>
      <c r="R8" s="1"/>
      <c r="S8" s="1"/>
      <c r="T8" s="1"/>
      <c r="U8" s="1"/>
      <c r="V8" s="1">
        <f t="shared" si="1"/>
        <v>0</v>
      </c>
    </row>
    <row r="9" spans="1:22" ht="15.75" customHeight="1" x14ac:dyDescent="0.25">
      <c r="A9" t="s">
        <v>27</v>
      </c>
      <c r="B9" t="s">
        <v>88</v>
      </c>
      <c r="C9">
        <v>0</v>
      </c>
      <c r="D9">
        <v>0.81</v>
      </c>
      <c r="E9">
        <v>0</v>
      </c>
      <c r="F9">
        <v>0</v>
      </c>
      <c r="H9">
        <v>0</v>
      </c>
      <c r="I9">
        <v>0</v>
      </c>
      <c r="J9">
        <v>70</v>
      </c>
      <c r="M9">
        <v>0</v>
      </c>
      <c r="N9" s="2">
        <f t="shared" si="0"/>
        <v>-15.96666666666667</v>
      </c>
      <c r="O9" s="1"/>
      <c r="P9" s="1"/>
      <c r="Q9" s="1"/>
      <c r="R9" s="1"/>
      <c r="S9" s="1">
        <v>0.1</v>
      </c>
      <c r="T9" s="1">
        <v>15.984299999999999</v>
      </c>
      <c r="U9" s="1"/>
      <c r="V9" s="1">
        <f t="shared" si="1"/>
        <v>0.7074033999999999</v>
      </c>
    </row>
    <row r="10" spans="1:22" ht="15.75" customHeight="1" x14ac:dyDescent="0.25">
      <c r="A10" t="s">
        <v>28</v>
      </c>
      <c r="B10" t="s">
        <v>89</v>
      </c>
      <c r="C10">
        <v>-3</v>
      </c>
      <c r="D10">
        <v>0.88</v>
      </c>
      <c r="E10">
        <v>-1</v>
      </c>
      <c r="F10">
        <v>-1</v>
      </c>
      <c r="H10">
        <v>-0.1</v>
      </c>
      <c r="I10">
        <v>0.03</v>
      </c>
      <c r="J10">
        <v>143</v>
      </c>
      <c r="M10">
        <v>800</v>
      </c>
      <c r="N10" s="2">
        <f t="shared" si="0"/>
        <v>-16.023333333333333</v>
      </c>
      <c r="O10" s="1"/>
      <c r="P10" s="1"/>
      <c r="Q10" s="1"/>
      <c r="R10" s="1"/>
      <c r="S10" s="1">
        <v>0.1</v>
      </c>
      <c r="T10" s="1">
        <v>17.992100000000001</v>
      </c>
      <c r="U10" s="1"/>
      <c r="V10" s="1">
        <f t="shared" si="1"/>
        <v>0.78369979999999995</v>
      </c>
    </row>
    <row r="11" spans="1:22" ht="15.75" customHeight="1" x14ac:dyDescent="0.25">
      <c r="A11" t="s">
        <v>29</v>
      </c>
      <c r="B11" t="s">
        <v>90</v>
      </c>
      <c r="C11">
        <v>-6</v>
      </c>
      <c r="D11">
        <v>1.1000000000000001</v>
      </c>
      <c r="E11">
        <v>-2</v>
      </c>
      <c r="F11">
        <v>-2</v>
      </c>
      <c r="H11">
        <v>-0.25</v>
      </c>
      <c r="I11">
        <v>0.11</v>
      </c>
      <c r="J11">
        <v>410</v>
      </c>
      <c r="M11">
        <v>4800</v>
      </c>
      <c r="N11" s="2">
        <f t="shared" si="0"/>
        <v>-15.68333333333333</v>
      </c>
      <c r="O11" s="1"/>
      <c r="P11" s="1"/>
      <c r="Q11" s="1"/>
      <c r="R11" s="1"/>
      <c r="S11" s="1">
        <v>0.1</v>
      </c>
      <c r="T11" s="1">
        <v>23.622</v>
      </c>
      <c r="U11" s="1"/>
      <c r="V11" s="1">
        <f t="shared" si="1"/>
        <v>0.99763599999999997</v>
      </c>
    </row>
    <row r="12" spans="1:22" ht="15.75" customHeight="1" x14ac:dyDescent="0.25">
      <c r="A12" t="s">
        <v>30</v>
      </c>
      <c r="B12" t="s">
        <v>91</v>
      </c>
      <c r="C12">
        <v>-5</v>
      </c>
      <c r="D12">
        <v>1.17</v>
      </c>
      <c r="E12">
        <v>-1</v>
      </c>
      <c r="F12">
        <v>-1</v>
      </c>
      <c r="H12">
        <v>-0.35</v>
      </c>
      <c r="I12">
        <v>0.14000000000000001</v>
      </c>
      <c r="J12">
        <v>509</v>
      </c>
      <c r="M12">
        <v>4500</v>
      </c>
      <c r="N12" s="2">
        <f t="shared" si="0"/>
        <v>-14.453333333333328</v>
      </c>
      <c r="O12" s="1"/>
      <c r="P12" s="1"/>
      <c r="Q12" s="1"/>
      <c r="R12" s="1"/>
      <c r="S12" s="1">
        <v>0.1</v>
      </c>
      <c r="T12" s="1">
        <v>25.590599999999998</v>
      </c>
      <c r="U12" s="1"/>
      <c r="V12" s="1">
        <f t="shared" si="1"/>
        <v>1.0724427999999999</v>
      </c>
    </row>
    <row r="13" spans="1:22" ht="15.75" customHeight="1" x14ac:dyDescent="0.25">
      <c r="A13" t="s">
        <v>49</v>
      </c>
      <c r="B13" t="s">
        <v>92</v>
      </c>
      <c r="C13">
        <v>5</v>
      </c>
      <c r="D13">
        <v>0.51</v>
      </c>
      <c r="E13">
        <v>9</v>
      </c>
      <c r="F13">
        <v>9</v>
      </c>
      <c r="H13">
        <v>0.45</v>
      </c>
      <c r="I13">
        <v>-0.09</v>
      </c>
      <c r="J13">
        <v>-331</v>
      </c>
      <c r="M13">
        <v>3500</v>
      </c>
      <c r="N13" s="2">
        <f t="shared" si="0"/>
        <v>-29.25333333333333</v>
      </c>
      <c r="O13" s="1"/>
      <c r="P13" s="1"/>
      <c r="Q13" s="1"/>
      <c r="R13" s="1"/>
      <c r="S13" s="1">
        <v>0.1</v>
      </c>
      <c r="T13" s="1">
        <v>8.3070900000000005</v>
      </c>
      <c r="U13" s="1"/>
      <c r="V13" s="1">
        <f t="shared" si="1"/>
        <v>0.41566942000000007</v>
      </c>
    </row>
    <row r="14" spans="1:22" ht="15.75" customHeight="1" x14ac:dyDescent="0.25">
      <c r="A14" t="s">
        <v>50</v>
      </c>
      <c r="B14" t="s">
        <v>93</v>
      </c>
      <c r="C14">
        <v>20</v>
      </c>
      <c r="D14">
        <v>0.42</v>
      </c>
      <c r="E14">
        <v>10</v>
      </c>
      <c r="F14">
        <v>10</v>
      </c>
      <c r="H14">
        <v>0.55000000000000004</v>
      </c>
      <c r="I14">
        <v>-0.15</v>
      </c>
      <c r="J14">
        <v>-561</v>
      </c>
      <c r="M14">
        <v>1500</v>
      </c>
      <c r="N14" s="2">
        <f t="shared" si="0"/>
        <v>-18.52</v>
      </c>
      <c r="O14" s="1"/>
      <c r="P14" s="1"/>
      <c r="Q14" s="1"/>
      <c r="R14" s="1"/>
      <c r="S14" s="1">
        <v>0.1</v>
      </c>
      <c r="T14" s="1">
        <v>5.7086600000000001</v>
      </c>
      <c r="U14" s="1"/>
      <c r="V14" s="1">
        <f t="shared" si="1"/>
        <v>0.31692907999999997</v>
      </c>
    </row>
    <row r="15" spans="1:22" ht="15.75" customHeight="1" x14ac:dyDescent="0.25">
      <c r="A15" t="s">
        <v>51</v>
      </c>
      <c r="B15" t="s">
        <v>94</v>
      </c>
      <c r="C15">
        <v>14</v>
      </c>
      <c r="D15">
        <v>0.39</v>
      </c>
      <c r="E15">
        <v>13</v>
      </c>
      <c r="F15">
        <v>13</v>
      </c>
      <c r="H15">
        <v>0.6</v>
      </c>
      <c r="I15">
        <v>-0.17</v>
      </c>
      <c r="J15">
        <v>-652</v>
      </c>
      <c r="M15">
        <v>2500</v>
      </c>
      <c r="N15" s="2">
        <f t="shared" si="0"/>
        <v>-29.973333333333333</v>
      </c>
      <c r="O15" s="1"/>
      <c r="P15" s="1"/>
      <c r="Q15" s="1"/>
      <c r="R15" s="1"/>
      <c r="S15" s="1">
        <v>0.1</v>
      </c>
      <c r="T15" s="1">
        <v>4.9212600000000002</v>
      </c>
      <c r="U15" s="1"/>
      <c r="V15" s="1">
        <f t="shared" si="1"/>
        <v>0.28700787999999999</v>
      </c>
    </row>
    <row r="16" spans="1:22" ht="15.75" customHeight="1" x14ac:dyDescent="0.25">
      <c r="A16" t="s">
        <v>52</v>
      </c>
      <c r="B16" t="s">
        <v>95</v>
      </c>
      <c r="C16">
        <v>-6</v>
      </c>
      <c r="D16">
        <v>0.26</v>
      </c>
      <c r="E16">
        <v>-8</v>
      </c>
      <c r="F16">
        <v>-8</v>
      </c>
      <c r="H16">
        <v>-0.15</v>
      </c>
      <c r="I16">
        <v>0.15</v>
      </c>
      <c r="J16">
        <v>90</v>
      </c>
      <c r="M16">
        <v>5000</v>
      </c>
      <c r="N16" s="2">
        <f t="shared" si="0"/>
        <v>8.5500000000000007</v>
      </c>
      <c r="O16" s="1"/>
      <c r="P16" s="1"/>
      <c r="Q16" s="1"/>
      <c r="R16" s="1"/>
      <c r="S16" s="1"/>
      <c r="T16" s="1"/>
      <c r="U16" s="1"/>
      <c r="V16" s="1">
        <f t="shared" si="1"/>
        <v>0</v>
      </c>
    </row>
    <row r="17" spans="1:22" ht="15.75" customHeight="1" x14ac:dyDescent="0.25">
      <c r="A17" t="s">
        <v>53</v>
      </c>
      <c r="B17" t="s">
        <v>96</v>
      </c>
      <c r="C17">
        <v>-1</v>
      </c>
      <c r="D17">
        <v>0.05</v>
      </c>
      <c r="E17">
        <v>1</v>
      </c>
      <c r="F17">
        <v>1</v>
      </c>
      <c r="H17">
        <v>0.1</v>
      </c>
      <c r="I17">
        <v>0</v>
      </c>
      <c r="J17">
        <v>-50</v>
      </c>
      <c r="M17">
        <v>1000</v>
      </c>
      <c r="N17" s="2">
        <f t="shared" si="0"/>
        <v>-5.0666666666666673</v>
      </c>
      <c r="O17" s="1"/>
      <c r="P17" s="1"/>
      <c r="Q17" s="1"/>
      <c r="R17" s="1"/>
      <c r="S17" s="1"/>
      <c r="T17" s="1"/>
      <c r="U17" s="1"/>
      <c r="V17" s="1">
        <f t="shared" si="1"/>
        <v>0</v>
      </c>
    </row>
    <row r="18" spans="1:22" ht="15.75" customHeight="1" x14ac:dyDescent="0.25">
      <c r="A18" t="s">
        <v>31</v>
      </c>
      <c r="B18" t="s">
        <v>97</v>
      </c>
      <c r="C18">
        <v>1</v>
      </c>
      <c r="D18">
        <v>0.05</v>
      </c>
      <c r="E18">
        <v>-11</v>
      </c>
      <c r="F18">
        <v>-9</v>
      </c>
      <c r="H18">
        <v>0</v>
      </c>
      <c r="I18">
        <v>0</v>
      </c>
      <c r="J18">
        <v>50</v>
      </c>
      <c r="M18">
        <v>0</v>
      </c>
      <c r="N18" s="2">
        <f t="shared" si="0"/>
        <v>14.366666666666665</v>
      </c>
      <c r="O18" s="1"/>
      <c r="P18" s="1"/>
      <c r="Q18" s="1"/>
      <c r="R18" s="1"/>
      <c r="S18" s="1"/>
      <c r="T18" s="1"/>
      <c r="U18" s="1"/>
      <c r="V18" s="1">
        <f t="shared" si="1"/>
        <v>0</v>
      </c>
    </row>
    <row r="19" spans="1:22" ht="15.75" customHeight="1" x14ac:dyDescent="0.25">
      <c r="N19" s="2">
        <f t="shared" si="0"/>
        <v>0</v>
      </c>
      <c r="O19" s="1"/>
      <c r="P19" s="1"/>
      <c r="Q19" s="1"/>
      <c r="R19" s="1"/>
      <c r="S19" s="1"/>
      <c r="T19" s="1"/>
      <c r="U19" s="1"/>
      <c r="V19" s="1">
        <f t="shared" si="1"/>
        <v>0</v>
      </c>
    </row>
    <row r="20" spans="1:22" ht="15.75" customHeight="1" x14ac:dyDescent="0.25">
      <c r="A20" t="s">
        <v>32</v>
      </c>
      <c r="B20" t="s">
        <v>85</v>
      </c>
      <c r="C20">
        <v>16</v>
      </c>
      <c r="D20">
        <v>0</v>
      </c>
      <c r="E20">
        <v>80</v>
      </c>
      <c r="F20">
        <v>100</v>
      </c>
      <c r="G20">
        <v>0</v>
      </c>
      <c r="H20">
        <v>0.75</v>
      </c>
      <c r="I20">
        <v>1</v>
      </c>
      <c r="J20">
        <v>1900</v>
      </c>
      <c r="M20">
        <v>20000</v>
      </c>
      <c r="N20" s="2">
        <f t="shared" si="0"/>
        <v>-72.916666666666671</v>
      </c>
      <c r="O20" s="1"/>
      <c r="P20" s="1"/>
      <c r="Q20" s="1"/>
      <c r="R20" s="1"/>
      <c r="S20" s="1"/>
      <c r="T20" s="1"/>
      <c r="U20" s="1"/>
      <c r="V20" s="1">
        <f t="shared" si="1"/>
        <v>0</v>
      </c>
    </row>
    <row r="21" spans="1:22" ht="15.75" customHeight="1" x14ac:dyDescent="0.25">
      <c r="A21" t="s">
        <v>54</v>
      </c>
      <c r="B21" t="s">
        <v>98</v>
      </c>
      <c r="C21">
        <v>13</v>
      </c>
      <c r="D21">
        <v>0.49</v>
      </c>
      <c r="E21">
        <v>9</v>
      </c>
      <c r="F21">
        <v>9</v>
      </c>
      <c r="H21">
        <v>0.35</v>
      </c>
      <c r="I21">
        <v>-0.09</v>
      </c>
      <c r="J21">
        <v>-158</v>
      </c>
      <c r="M21">
        <v>1000</v>
      </c>
      <c r="N21" s="2">
        <f t="shared" si="0"/>
        <v>-18.776666666666667</v>
      </c>
      <c r="O21" s="1"/>
      <c r="P21" s="1"/>
      <c r="Q21" s="1"/>
      <c r="R21" s="1"/>
      <c r="S21" s="1">
        <v>0.16</v>
      </c>
      <c r="T21" s="1">
        <v>8.25</v>
      </c>
      <c r="U21" s="1"/>
      <c r="V21" s="1">
        <f t="shared" si="1"/>
        <v>0.47350000000000003</v>
      </c>
    </row>
    <row r="22" spans="1:22" ht="15.75" customHeight="1" x14ac:dyDescent="0.25">
      <c r="A22" t="s">
        <v>55</v>
      </c>
      <c r="B22" t="s">
        <v>99</v>
      </c>
      <c r="C22">
        <v>8</v>
      </c>
      <c r="D22">
        <v>0.67</v>
      </c>
      <c r="E22">
        <v>6</v>
      </c>
      <c r="F22">
        <v>6</v>
      </c>
      <c r="H22">
        <v>0.15</v>
      </c>
      <c r="I22">
        <v>-0.06</v>
      </c>
      <c r="J22">
        <v>-131</v>
      </c>
      <c r="M22">
        <v>750</v>
      </c>
      <c r="N22" s="2">
        <f t="shared" si="0"/>
        <v>-18.886666666666667</v>
      </c>
      <c r="O22" s="1"/>
      <c r="P22" s="1"/>
      <c r="Q22" s="1"/>
      <c r="R22" s="1"/>
      <c r="S22" s="1">
        <v>0.2</v>
      </c>
      <c r="T22" s="1">
        <v>12</v>
      </c>
      <c r="U22" s="1"/>
      <c r="V22" s="1">
        <f t="shared" si="1"/>
        <v>0.65599999999999992</v>
      </c>
    </row>
    <row r="23" spans="1:22" ht="15.75" customHeight="1" x14ac:dyDescent="0.25">
      <c r="A23" t="s">
        <v>56</v>
      </c>
      <c r="B23" t="s">
        <v>100</v>
      </c>
      <c r="C23">
        <v>5</v>
      </c>
      <c r="D23">
        <v>0.72</v>
      </c>
      <c r="E23">
        <v>4</v>
      </c>
      <c r="F23">
        <v>4</v>
      </c>
      <c r="H23">
        <v>0.1</v>
      </c>
      <c r="I23">
        <v>-0.04</v>
      </c>
      <c r="J23">
        <v>-81</v>
      </c>
      <c r="M23">
        <v>500</v>
      </c>
      <c r="N23" s="2">
        <f t="shared" si="0"/>
        <v>-18.37</v>
      </c>
      <c r="O23" s="1"/>
      <c r="P23" s="1"/>
      <c r="Q23" s="1"/>
      <c r="R23" s="1"/>
      <c r="S23" s="1">
        <v>0.2</v>
      </c>
      <c r="T23" s="1">
        <v>13</v>
      </c>
      <c r="U23" s="1"/>
      <c r="V23" s="1">
        <f t="shared" si="1"/>
        <v>0.69399999999999995</v>
      </c>
    </row>
    <row r="24" spans="1:22" ht="15.75" customHeight="1" x14ac:dyDescent="0.25">
      <c r="A24" t="s">
        <v>57</v>
      </c>
      <c r="B24" t="s">
        <v>101</v>
      </c>
      <c r="C24">
        <v>2</v>
      </c>
      <c r="D24">
        <v>0.86</v>
      </c>
      <c r="E24">
        <v>1</v>
      </c>
      <c r="F24">
        <v>2</v>
      </c>
      <c r="H24">
        <v>0</v>
      </c>
      <c r="I24">
        <v>0</v>
      </c>
      <c r="J24">
        <v>46</v>
      </c>
      <c r="M24">
        <v>400</v>
      </c>
      <c r="N24" s="2">
        <f t="shared" si="0"/>
        <v>-17.046666666666667</v>
      </c>
      <c r="O24" s="1"/>
      <c r="P24" s="1"/>
      <c r="Q24" s="1"/>
      <c r="R24" s="1"/>
      <c r="S24" s="1">
        <v>0.2</v>
      </c>
      <c r="T24" s="1">
        <v>16</v>
      </c>
      <c r="U24" s="1"/>
      <c r="V24" s="1">
        <f t="shared" si="1"/>
        <v>0.80800000000000005</v>
      </c>
    </row>
    <row r="25" spans="1:22" ht="15.75" customHeight="1" x14ac:dyDescent="0.25">
      <c r="A25" t="s">
        <v>58</v>
      </c>
      <c r="B25" t="s">
        <v>102</v>
      </c>
      <c r="C25">
        <v>0</v>
      </c>
      <c r="D25">
        <v>0.93</v>
      </c>
      <c r="E25">
        <v>0</v>
      </c>
      <c r="F25">
        <v>0</v>
      </c>
      <c r="H25">
        <v>0</v>
      </c>
      <c r="I25">
        <v>0</v>
      </c>
      <c r="J25">
        <v>71</v>
      </c>
      <c r="M25">
        <v>0</v>
      </c>
      <c r="N25" s="2">
        <f t="shared" si="0"/>
        <v>-18.363333333333333</v>
      </c>
      <c r="O25" s="1"/>
      <c r="P25" s="1"/>
      <c r="Q25" s="1"/>
      <c r="R25" s="1"/>
      <c r="S25" s="1">
        <v>0.25</v>
      </c>
      <c r="T25" s="1">
        <v>16</v>
      </c>
      <c r="U25" s="1"/>
      <c r="V25" s="1">
        <f t="shared" si="1"/>
        <v>0.85799999999999998</v>
      </c>
    </row>
    <row r="26" spans="1:22" ht="15.75" customHeight="1" x14ac:dyDescent="0.25">
      <c r="A26" t="s">
        <v>59</v>
      </c>
      <c r="B26" t="s">
        <v>103</v>
      </c>
      <c r="C26">
        <v>-5</v>
      </c>
      <c r="D26">
        <v>1.03</v>
      </c>
      <c r="E26">
        <v>-4</v>
      </c>
      <c r="F26">
        <v>-5</v>
      </c>
      <c r="H26">
        <v>-0.1</v>
      </c>
      <c r="I26">
        <v>0.03</v>
      </c>
      <c r="J26">
        <v>143</v>
      </c>
      <c r="M26">
        <v>750</v>
      </c>
      <c r="N26" s="2">
        <f t="shared" si="0"/>
        <v>-16.223333333333336</v>
      </c>
      <c r="O26" s="1"/>
      <c r="P26" s="1"/>
      <c r="Q26" s="1"/>
      <c r="R26" s="1"/>
      <c r="S26" s="1">
        <v>0.25</v>
      </c>
      <c r="T26" s="1">
        <v>18</v>
      </c>
      <c r="U26" s="1"/>
      <c r="V26" s="1">
        <f t="shared" si="1"/>
        <v>0.93399999999999994</v>
      </c>
    </row>
    <row r="27" spans="1:22" ht="15.75" customHeight="1" x14ac:dyDescent="0.25">
      <c r="A27" t="s">
        <v>60</v>
      </c>
      <c r="B27" t="s">
        <v>104</v>
      </c>
      <c r="C27">
        <v>-10</v>
      </c>
      <c r="D27">
        <v>1.1299999999999999</v>
      </c>
      <c r="E27">
        <v>-7</v>
      </c>
      <c r="F27">
        <v>-8</v>
      </c>
      <c r="H27">
        <v>-0.25</v>
      </c>
      <c r="I27">
        <v>0.08</v>
      </c>
      <c r="J27">
        <v>238</v>
      </c>
      <c r="M27">
        <v>1000</v>
      </c>
      <c r="N27" s="2">
        <f t="shared" si="0"/>
        <v>-14.45666666666666</v>
      </c>
      <c r="O27" s="1"/>
      <c r="P27" s="1"/>
      <c r="Q27" s="1"/>
      <c r="R27" s="1"/>
      <c r="S27" s="1">
        <v>0.25</v>
      </c>
      <c r="T27" s="1">
        <v>21</v>
      </c>
      <c r="U27" s="1"/>
      <c r="V27" s="1">
        <f t="shared" si="1"/>
        <v>1.048</v>
      </c>
    </row>
    <row r="28" spans="1:22" ht="15.75" customHeight="1" x14ac:dyDescent="0.25">
      <c r="N28" s="2">
        <f t="shared" si="0"/>
        <v>0</v>
      </c>
      <c r="O28" s="1"/>
      <c r="P28" s="1"/>
      <c r="Q28" s="1"/>
      <c r="R28" s="1"/>
      <c r="S28" s="1"/>
      <c r="T28" s="1"/>
      <c r="U28" s="1"/>
      <c r="V28" s="1">
        <f t="shared" si="1"/>
        <v>0</v>
      </c>
    </row>
    <row r="29" spans="1:22" ht="15.75" customHeight="1" x14ac:dyDescent="0.25">
      <c r="A29" t="s">
        <v>33</v>
      </c>
      <c r="B29" t="s">
        <v>105</v>
      </c>
      <c r="C29">
        <v>5</v>
      </c>
      <c r="D29">
        <v>0</v>
      </c>
      <c r="E29">
        <v>75</v>
      </c>
      <c r="F29">
        <v>80</v>
      </c>
      <c r="G29">
        <v>0</v>
      </c>
      <c r="H29">
        <v>0.6</v>
      </c>
      <c r="I29">
        <v>1</v>
      </c>
      <c r="J29">
        <v>1900</v>
      </c>
      <c r="M29">
        <v>75000</v>
      </c>
      <c r="N29" s="2">
        <f t="shared" si="0"/>
        <v>-65.666666666666671</v>
      </c>
      <c r="O29" s="1"/>
      <c r="P29" s="1"/>
      <c r="Q29" s="1"/>
      <c r="R29" s="1"/>
      <c r="S29" s="1"/>
      <c r="T29" s="1"/>
      <c r="U29" s="1"/>
      <c r="V29" s="1">
        <f t="shared" si="1"/>
        <v>0</v>
      </c>
    </row>
    <row r="30" spans="1:22" ht="15.75" customHeight="1" x14ac:dyDescent="0.25">
      <c r="A30" t="s">
        <v>61</v>
      </c>
      <c r="B30" t="s">
        <v>106</v>
      </c>
      <c r="C30">
        <v>12</v>
      </c>
      <c r="D30">
        <v>0.6</v>
      </c>
      <c r="E30">
        <v>7</v>
      </c>
      <c r="F30">
        <v>7</v>
      </c>
      <c r="H30">
        <v>0.25</v>
      </c>
      <c r="I30">
        <v>-7.0000000000000007E-2</v>
      </c>
      <c r="J30">
        <v>-187</v>
      </c>
      <c r="L30">
        <v>0.05</v>
      </c>
      <c r="M30">
        <v>1500</v>
      </c>
      <c r="N30" s="2">
        <f t="shared" si="0"/>
        <v>-16.973333333333336</v>
      </c>
      <c r="O30" s="1"/>
      <c r="P30" s="1"/>
      <c r="Q30" s="1"/>
      <c r="R30" s="1"/>
      <c r="S30" s="1">
        <v>0.1</v>
      </c>
      <c r="T30" s="1">
        <v>10.511799999999999</v>
      </c>
      <c r="U30" s="1"/>
      <c r="V30" s="1">
        <f t="shared" si="1"/>
        <v>0.49944840000000001</v>
      </c>
    </row>
    <row r="31" spans="1:22" ht="15.75" customHeight="1" x14ac:dyDescent="0.25">
      <c r="A31" t="s">
        <v>62</v>
      </c>
      <c r="B31" t="s">
        <v>107</v>
      </c>
      <c r="C31">
        <v>6</v>
      </c>
      <c r="D31">
        <v>0.69</v>
      </c>
      <c r="E31">
        <v>3</v>
      </c>
      <c r="F31">
        <v>4</v>
      </c>
      <c r="H31">
        <v>0.1</v>
      </c>
      <c r="I31">
        <v>-0.04</v>
      </c>
      <c r="J31">
        <v>-57</v>
      </c>
      <c r="M31">
        <v>1200</v>
      </c>
      <c r="N31" s="2">
        <f t="shared" si="0"/>
        <v>-15.889999999999999</v>
      </c>
      <c r="O31" s="1"/>
      <c r="P31" s="1"/>
      <c r="Q31" s="1"/>
      <c r="R31" s="1"/>
      <c r="S31" s="1">
        <v>0.1</v>
      </c>
      <c r="T31" s="1">
        <v>12.992100000000001</v>
      </c>
      <c r="U31" s="1"/>
      <c r="V31" s="1">
        <f t="shared" si="1"/>
        <v>0.5936998</v>
      </c>
    </row>
    <row r="32" spans="1:22" ht="15.75" customHeight="1" x14ac:dyDescent="0.25">
      <c r="A32" t="s">
        <v>63</v>
      </c>
      <c r="B32" t="s">
        <v>108</v>
      </c>
      <c r="C32">
        <v>0</v>
      </c>
      <c r="D32">
        <v>0.81</v>
      </c>
      <c r="E32">
        <v>0</v>
      </c>
      <c r="F32">
        <v>0</v>
      </c>
      <c r="H32">
        <v>0</v>
      </c>
      <c r="I32">
        <v>0</v>
      </c>
      <c r="J32">
        <v>70</v>
      </c>
      <c r="M32">
        <v>0</v>
      </c>
      <c r="N32" s="2">
        <f t="shared" si="0"/>
        <v>-15.96666666666667</v>
      </c>
      <c r="O32" s="1"/>
      <c r="P32" s="1"/>
      <c r="Q32" s="1"/>
      <c r="R32" s="1"/>
      <c r="S32" s="1">
        <v>0.1</v>
      </c>
      <c r="T32" s="1">
        <v>15.984299999999999</v>
      </c>
      <c r="U32" s="1"/>
      <c r="V32" s="1">
        <f t="shared" si="1"/>
        <v>0.7074033999999999</v>
      </c>
    </row>
    <row r="33" spans="1:22" ht="15.75" customHeight="1" x14ac:dyDescent="0.25">
      <c r="A33" t="s">
        <v>64</v>
      </c>
      <c r="B33" t="s">
        <v>109</v>
      </c>
      <c r="C33">
        <v>-1</v>
      </c>
      <c r="D33">
        <v>0.79</v>
      </c>
      <c r="E33">
        <v>-1</v>
      </c>
      <c r="F33">
        <v>1</v>
      </c>
      <c r="H33">
        <v>-0.05</v>
      </c>
      <c r="I33">
        <v>0.01</v>
      </c>
      <c r="J33">
        <v>171</v>
      </c>
      <c r="M33">
        <v>1500</v>
      </c>
      <c r="N33" s="2">
        <f t="shared" si="0"/>
        <v>-14.88</v>
      </c>
      <c r="O33" s="1"/>
      <c r="P33" s="1"/>
      <c r="Q33" s="1"/>
      <c r="R33" s="1"/>
      <c r="S33" s="1">
        <v>0.1</v>
      </c>
      <c r="T33" s="1">
        <v>16</v>
      </c>
      <c r="U33" s="1"/>
      <c r="V33" s="1">
        <f t="shared" si="1"/>
        <v>0.70799999999999996</v>
      </c>
    </row>
    <row r="34" spans="1:22" ht="15.75" customHeight="1" x14ac:dyDescent="0.25">
      <c r="A34" t="s">
        <v>65</v>
      </c>
      <c r="B34" t="s">
        <v>110</v>
      </c>
      <c r="C34">
        <v>-5</v>
      </c>
      <c r="D34">
        <v>0.96</v>
      </c>
      <c r="E34">
        <v>-3</v>
      </c>
      <c r="F34">
        <v>-3</v>
      </c>
      <c r="H34">
        <v>-0.1</v>
      </c>
      <c r="I34">
        <v>0.06</v>
      </c>
      <c r="J34">
        <v>208</v>
      </c>
      <c r="M34">
        <v>1500</v>
      </c>
      <c r="N34" s="2">
        <f t="shared" si="0"/>
        <v>-15.406666666666665</v>
      </c>
      <c r="O34" s="1"/>
      <c r="P34" s="1"/>
      <c r="Q34" s="1"/>
      <c r="R34" s="1"/>
      <c r="S34" s="1">
        <v>0.1</v>
      </c>
      <c r="T34" s="1">
        <v>20</v>
      </c>
      <c r="U34" s="1"/>
      <c r="V34" s="1">
        <f t="shared" si="1"/>
        <v>0.86</v>
      </c>
    </row>
    <row r="35" spans="1:22" ht="15.75" customHeight="1" x14ac:dyDescent="0.25">
      <c r="A35" t="s">
        <v>67</v>
      </c>
      <c r="B35" t="s">
        <v>111</v>
      </c>
      <c r="C35">
        <v>-7</v>
      </c>
      <c r="D35">
        <v>0.94</v>
      </c>
      <c r="E35">
        <v>-4</v>
      </c>
      <c r="F35">
        <v>-2</v>
      </c>
      <c r="H35">
        <v>-0.15</v>
      </c>
      <c r="I35">
        <v>7.0000000000000007E-2</v>
      </c>
      <c r="J35">
        <v>358</v>
      </c>
      <c r="M35">
        <v>2000</v>
      </c>
      <c r="N35" s="2">
        <f t="shared" si="0"/>
        <v>-15.156666666666665</v>
      </c>
      <c r="O35" s="1"/>
      <c r="P35" s="1"/>
      <c r="Q35" s="1"/>
      <c r="R35" s="1"/>
      <c r="S35" s="1">
        <v>0.1</v>
      </c>
      <c r="T35" s="1">
        <v>20</v>
      </c>
      <c r="U35" s="1"/>
      <c r="V35" s="1">
        <f t="shared" si="1"/>
        <v>0.86</v>
      </c>
    </row>
    <row r="36" spans="1:22" ht="15.75" customHeight="1" x14ac:dyDescent="0.25">
      <c r="A36" t="s">
        <v>68</v>
      </c>
      <c r="B36" t="s">
        <v>66</v>
      </c>
      <c r="C36">
        <v>-4</v>
      </c>
      <c r="D36">
        <v>1.01</v>
      </c>
      <c r="E36">
        <v>2</v>
      </c>
      <c r="F36">
        <v>2</v>
      </c>
      <c r="H36">
        <v>-0.3</v>
      </c>
      <c r="I36">
        <v>0.09</v>
      </c>
      <c r="J36">
        <v>308</v>
      </c>
      <c r="M36">
        <v>1500</v>
      </c>
      <c r="N36" s="2">
        <f t="shared" si="0"/>
        <v>-17.873333333333331</v>
      </c>
      <c r="O36" s="1"/>
      <c r="P36" s="1"/>
      <c r="Q36" s="1"/>
      <c r="R36" s="1"/>
      <c r="S36" s="1">
        <v>0.1</v>
      </c>
      <c r="T36" s="1">
        <v>20</v>
      </c>
      <c r="U36" s="1"/>
      <c r="V36" s="1">
        <f t="shared" si="1"/>
        <v>0.86</v>
      </c>
    </row>
    <row r="37" spans="1:22" ht="15.75" customHeight="1" x14ac:dyDescent="0.25">
      <c r="N37" s="2">
        <f t="shared" si="0"/>
        <v>0</v>
      </c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25">
      <c r="A38" t="s">
        <v>69</v>
      </c>
      <c r="B38" t="s">
        <v>70</v>
      </c>
      <c r="C38">
        <v>1</v>
      </c>
      <c r="D38">
        <v>0.06</v>
      </c>
      <c r="E38">
        <v>-10</v>
      </c>
      <c r="F38">
        <v>-12</v>
      </c>
      <c r="H38">
        <v>0</v>
      </c>
      <c r="I38">
        <v>0</v>
      </c>
      <c r="J38">
        <v>0</v>
      </c>
      <c r="M38">
        <v>0</v>
      </c>
      <c r="N38" s="2">
        <f t="shared" si="0"/>
        <v>15</v>
      </c>
      <c r="O38" s="1"/>
      <c r="P38" s="1"/>
      <c r="Q38" s="1"/>
      <c r="R38" s="1"/>
      <c r="S38" s="1"/>
      <c r="T38" s="1"/>
      <c r="U38" s="1"/>
      <c r="V38" s="1">
        <f t="shared" ref="V38:V41" si="2">S38+T38*0.038+U38</f>
        <v>0</v>
      </c>
    </row>
    <row r="39" spans="1:22" ht="15.75" customHeight="1" x14ac:dyDescent="0.25">
      <c r="A39" t="s">
        <v>71</v>
      </c>
      <c r="B39" t="s">
        <v>72</v>
      </c>
      <c r="C39">
        <v>2</v>
      </c>
      <c r="D39">
        <v>0.05</v>
      </c>
      <c r="E39">
        <v>-9</v>
      </c>
      <c r="F39">
        <v>-11</v>
      </c>
      <c r="H39">
        <v>0</v>
      </c>
      <c r="I39">
        <v>0</v>
      </c>
      <c r="J39">
        <v>0</v>
      </c>
      <c r="M39">
        <v>600</v>
      </c>
      <c r="N39" s="2">
        <f t="shared" si="0"/>
        <v>14.799999999999999</v>
      </c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25">
      <c r="A40" t="s">
        <v>34</v>
      </c>
      <c r="B40" t="s">
        <v>112</v>
      </c>
      <c r="C40">
        <v>1</v>
      </c>
      <c r="D40">
        <v>0.12</v>
      </c>
      <c r="E40">
        <v>-10</v>
      </c>
      <c r="F40">
        <v>-14</v>
      </c>
      <c r="H40">
        <v>0</v>
      </c>
      <c r="I40">
        <v>0</v>
      </c>
      <c r="J40">
        <v>50</v>
      </c>
      <c r="M40">
        <v>500</v>
      </c>
      <c r="N40" s="2">
        <f t="shared" si="0"/>
        <v>15.166666666666666</v>
      </c>
      <c r="O40" s="1"/>
      <c r="P40" s="1"/>
      <c r="Q40" s="1"/>
      <c r="R40" s="1"/>
      <c r="S40" s="1"/>
      <c r="T40" s="1"/>
      <c r="U40" s="1"/>
      <c r="V40" s="1">
        <f t="shared" si="2"/>
        <v>0</v>
      </c>
    </row>
    <row r="41" spans="1:22" ht="15.75" customHeight="1" x14ac:dyDescent="0.25">
      <c r="A41" t="s">
        <v>35</v>
      </c>
      <c r="B41" t="s">
        <v>113</v>
      </c>
      <c r="C41">
        <v>0</v>
      </c>
      <c r="D41">
        <v>0.08</v>
      </c>
      <c r="E41">
        <v>-13</v>
      </c>
      <c r="F41">
        <v>-11</v>
      </c>
      <c r="H41">
        <v>0</v>
      </c>
      <c r="I41">
        <v>0</v>
      </c>
      <c r="J41">
        <v>25</v>
      </c>
      <c r="M41">
        <v>500</v>
      </c>
      <c r="N41" s="2">
        <f t="shared" si="0"/>
        <v>15.483333333333334</v>
      </c>
      <c r="O41" s="1"/>
      <c r="P41" s="1"/>
      <c r="Q41" s="1"/>
      <c r="R41" s="1"/>
      <c r="S41" s="1"/>
      <c r="T41" s="1"/>
      <c r="U41" s="1"/>
      <c r="V41" s="1">
        <f t="shared" si="2"/>
        <v>0</v>
      </c>
    </row>
    <row r="42" spans="1:22" ht="15.75" customHeight="1" x14ac:dyDescent="0.25">
      <c r="A42" t="s">
        <v>73</v>
      </c>
      <c r="B42" t="s">
        <v>114</v>
      </c>
      <c r="C42">
        <v>1</v>
      </c>
      <c r="D42">
        <v>0.09</v>
      </c>
      <c r="E42">
        <v>-11</v>
      </c>
      <c r="F42">
        <v>-12</v>
      </c>
      <c r="H42">
        <v>0</v>
      </c>
      <c r="I42">
        <v>0</v>
      </c>
      <c r="J42">
        <v>25</v>
      </c>
      <c r="M42">
        <v>0</v>
      </c>
      <c r="N42" s="2">
        <f t="shared" si="0"/>
        <v>15.283333333333333</v>
      </c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25">
      <c r="A43" t="s">
        <v>74</v>
      </c>
      <c r="B43" t="s">
        <v>115</v>
      </c>
      <c r="C43">
        <v>1</v>
      </c>
      <c r="D43">
        <v>0.1</v>
      </c>
      <c r="E43">
        <v>-14</v>
      </c>
      <c r="F43">
        <v>-10</v>
      </c>
      <c r="H43">
        <v>0</v>
      </c>
      <c r="I43">
        <v>0</v>
      </c>
      <c r="J43">
        <v>25</v>
      </c>
      <c r="M43">
        <v>750</v>
      </c>
      <c r="N43" s="2">
        <f t="shared" si="0"/>
        <v>16.283333333333335</v>
      </c>
      <c r="O43" s="1"/>
      <c r="P43" s="1">
        <v>4.25</v>
      </c>
      <c r="Q43" s="1">
        <f>P43*0.024</f>
        <v>0.10200000000000001</v>
      </c>
      <c r="R43" s="1"/>
      <c r="S43" s="1"/>
      <c r="T43" s="1"/>
      <c r="U43" s="1"/>
      <c r="V43" s="1"/>
    </row>
    <row r="44" spans="1:22" ht="15.75" customHeight="1" x14ac:dyDescent="0.25">
      <c r="A44" t="s">
        <v>36</v>
      </c>
      <c r="B44" t="s">
        <v>116</v>
      </c>
      <c r="C44">
        <v>-1</v>
      </c>
      <c r="D44">
        <v>0.09</v>
      </c>
      <c r="E44">
        <v>-15</v>
      </c>
      <c r="F44">
        <v>-13</v>
      </c>
      <c r="H44">
        <v>0.05</v>
      </c>
      <c r="I44">
        <v>0</v>
      </c>
      <c r="J44">
        <v>0</v>
      </c>
      <c r="M44">
        <v>1000</v>
      </c>
      <c r="N44" s="2">
        <f t="shared" si="0"/>
        <v>16.25</v>
      </c>
      <c r="O44" s="1"/>
      <c r="P44" s="1">
        <v>4</v>
      </c>
      <c r="Q44" s="1">
        <f t="shared" ref="Q44:Q46" si="3">P44*0.024</f>
        <v>9.6000000000000002E-2</v>
      </c>
      <c r="R44" s="1"/>
      <c r="S44" s="1"/>
      <c r="T44" s="1"/>
      <c r="U44" s="1"/>
      <c r="V44" s="1"/>
    </row>
    <row r="45" spans="1:22" ht="15.75" customHeight="1" x14ac:dyDescent="0.25">
      <c r="A45" t="s">
        <v>75</v>
      </c>
      <c r="B45" t="s">
        <v>117</v>
      </c>
      <c r="C45">
        <v>-2</v>
      </c>
      <c r="D45">
        <v>0.09</v>
      </c>
      <c r="E45">
        <v>-17</v>
      </c>
      <c r="F45">
        <v>-12</v>
      </c>
      <c r="H45">
        <v>0.05</v>
      </c>
      <c r="I45">
        <v>0</v>
      </c>
      <c r="J45">
        <v>0</v>
      </c>
      <c r="M45">
        <v>900</v>
      </c>
      <c r="N45" s="2">
        <f t="shared" si="0"/>
        <v>16.25</v>
      </c>
      <c r="O45" s="1"/>
      <c r="P45" s="1">
        <v>3.9</v>
      </c>
      <c r="Q45" s="1">
        <f t="shared" si="3"/>
        <v>9.3600000000000003E-2</v>
      </c>
      <c r="R45" s="1"/>
      <c r="S45" s="1"/>
      <c r="T45" s="1"/>
      <c r="U45" s="1"/>
      <c r="V45" s="1"/>
    </row>
    <row r="46" spans="1:22" ht="15.75" customHeight="1" x14ac:dyDescent="0.25">
      <c r="A46" t="s">
        <v>76</v>
      </c>
      <c r="B46" t="s">
        <v>118</v>
      </c>
      <c r="C46">
        <v>-1</v>
      </c>
      <c r="D46">
        <v>0.08</v>
      </c>
      <c r="E46">
        <v>-13</v>
      </c>
      <c r="F46">
        <v>-15</v>
      </c>
      <c r="H46">
        <v>0.05</v>
      </c>
      <c r="I46">
        <v>0</v>
      </c>
      <c r="J46">
        <v>0</v>
      </c>
      <c r="M46">
        <v>500</v>
      </c>
      <c r="N46" s="2">
        <f t="shared" si="0"/>
        <v>16.05</v>
      </c>
      <c r="O46" s="1"/>
      <c r="P46" s="1">
        <v>3.6</v>
      </c>
      <c r="Q46" s="1">
        <f t="shared" si="3"/>
        <v>8.6400000000000005E-2</v>
      </c>
      <c r="R46" s="1"/>
      <c r="S46" s="1"/>
      <c r="T46" s="1"/>
      <c r="U46" s="1"/>
      <c r="V46" s="1"/>
    </row>
    <row r="47" spans="1:22" ht="15.75" customHeight="1" x14ac:dyDescent="0.25">
      <c r="A47" t="s">
        <v>37</v>
      </c>
      <c r="B47" t="s">
        <v>38</v>
      </c>
      <c r="C47">
        <v>-3</v>
      </c>
      <c r="D47">
        <v>7.0000000000000007E-2</v>
      </c>
      <c r="E47">
        <v>12</v>
      </c>
      <c r="F47">
        <v>-22</v>
      </c>
      <c r="H47">
        <v>0.1</v>
      </c>
      <c r="I47">
        <v>-0.01</v>
      </c>
      <c r="J47">
        <v>0</v>
      </c>
      <c r="M47">
        <v>1200</v>
      </c>
      <c r="N47" s="2">
        <f>C47-D47*20-E47*0.8-F47*0.6-H47*15+I47*40+J47/300</f>
        <v>-2.7000000000000024</v>
      </c>
      <c r="O47" s="1"/>
      <c r="P47" s="1"/>
      <c r="Q47" s="1"/>
      <c r="R47" s="1"/>
      <c r="S47" s="1"/>
      <c r="T47" s="1"/>
      <c r="U47" s="1"/>
      <c r="V47" s="1">
        <f>S47+T47*0.038+U47</f>
        <v>0</v>
      </c>
    </row>
    <row r="48" spans="1:22" ht="15.75" customHeight="1" x14ac:dyDescent="0.25">
      <c r="A48" t="s">
        <v>39</v>
      </c>
      <c r="B48" t="s">
        <v>119</v>
      </c>
      <c r="C48">
        <v>-6</v>
      </c>
      <c r="D48">
        <v>0.17</v>
      </c>
      <c r="E48">
        <v>8</v>
      </c>
      <c r="F48">
        <v>-35</v>
      </c>
      <c r="H48">
        <v>0.15</v>
      </c>
      <c r="I48">
        <v>-0.01</v>
      </c>
      <c r="J48">
        <v>-20</v>
      </c>
      <c r="M48">
        <v>1500</v>
      </c>
      <c r="N48" s="2">
        <f t="shared" si="0"/>
        <v>2.4833333333333325</v>
      </c>
      <c r="O48" s="1"/>
      <c r="P48" s="1"/>
      <c r="Q48" s="1">
        <f t="shared" ref="Q48:Q61" si="4">P48*0.015</f>
        <v>0</v>
      </c>
      <c r="R48" s="1"/>
      <c r="S48" s="1"/>
      <c r="T48" s="1"/>
      <c r="U48" s="1"/>
      <c r="V48" s="1"/>
    </row>
    <row r="49" spans="1:22" ht="15.75" customHeight="1" x14ac:dyDescent="0.25">
      <c r="N49" s="2">
        <f t="shared" si="0"/>
        <v>0</v>
      </c>
      <c r="O49" s="1"/>
      <c r="P49" s="1"/>
      <c r="Q49" s="1">
        <f t="shared" si="4"/>
        <v>0</v>
      </c>
      <c r="R49" s="1"/>
      <c r="S49" s="1"/>
      <c r="T49" s="1"/>
      <c r="U49" s="1"/>
      <c r="V49" s="1"/>
    </row>
    <row r="50" spans="1:22" ht="15.75" customHeight="1" x14ac:dyDescent="0.25">
      <c r="A50" t="s">
        <v>77</v>
      </c>
      <c r="B50" t="s">
        <v>120</v>
      </c>
      <c r="C50">
        <v>0</v>
      </c>
      <c r="D50">
        <v>0.15</v>
      </c>
      <c r="E50">
        <v>-15</v>
      </c>
      <c r="F50">
        <v>-11</v>
      </c>
      <c r="H50">
        <v>0</v>
      </c>
      <c r="I50">
        <v>0.02</v>
      </c>
      <c r="J50">
        <v>40</v>
      </c>
      <c r="M50">
        <v>1000</v>
      </c>
      <c r="N50" s="2">
        <f t="shared" si="0"/>
        <v>16.533333333333331</v>
      </c>
      <c r="O50" s="1"/>
      <c r="P50" s="1">
        <v>7.8</v>
      </c>
      <c r="Q50" s="1">
        <f t="shared" si="4"/>
        <v>0.11699999999999999</v>
      </c>
      <c r="R50" s="1"/>
      <c r="S50" s="1"/>
      <c r="T50" s="1"/>
      <c r="U50" s="1"/>
      <c r="V50" s="1"/>
    </row>
    <row r="51" spans="1:22" ht="15.75" customHeight="1" x14ac:dyDescent="0.25">
      <c r="A51" t="s">
        <v>78</v>
      </c>
      <c r="B51" t="s">
        <v>121</v>
      </c>
      <c r="C51">
        <v>0</v>
      </c>
      <c r="D51">
        <v>0.17</v>
      </c>
      <c r="E51">
        <v>-13</v>
      </c>
      <c r="F51">
        <v>-14</v>
      </c>
      <c r="H51">
        <v>0</v>
      </c>
      <c r="I51">
        <v>0.02</v>
      </c>
      <c r="J51">
        <v>20</v>
      </c>
      <c r="M51">
        <v>1000</v>
      </c>
      <c r="N51" s="2">
        <f t="shared" si="0"/>
        <v>16.266666666666666</v>
      </c>
      <c r="O51" s="1"/>
      <c r="P51" s="1">
        <v>9.5</v>
      </c>
      <c r="Q51" s="1">
        <f t="shared" si="4"/>
        <v>0.14249999999999999</v>
      </c>
      <c r="R51" s="1"/>
      <c r="S51" s="1"/>
      <c r="T51" s="1"/>
      <c r="U51" s="1"/>
      <c r="V51" s="1"/>
    </row>
    <row r="52" spans="1:22" ht="15" customHeight="1" x14ac:dyDescent="0.25">
      <c r="N52" s="2">
        <f t="shared" si="0"/>
        <v>0</v>
      </c>
      <c r="O52" s="1"/>
      <c r="P52" s="1"/>
      <c r="Q52" s="1">
        <f t="shared" si="4"/>
        <v>0</v>
      </c>
      <c r="R52" s="1"/>
      <c r="S52" s="1"/>
      <c r="T52" s="1"/>
      <c r="U52" s="1"/>
      <c r="V52" s="1"/>
    </row>
    <row r="53" spans="1:22" ht="15.75" customHeight="1" x14ac:dyDescent="0.25">
      <c r="A53" t="s">
        <v>40</v>
      </c>
      <c r="B53" t="s">
        <v>122</v>
      </c>
      <c r="C53">
        <v>-6</v>
      </c>
      <c r="D53">
        <v>0.26</v>
      </c>
      <c r="E53">
        <v>-11</v>
      </c>
      <c r="F53">
        <v>-13</v>
      </c>
      <c r="H53">
        <v>-0.12</v>
      </c>
      <c r="I53">
        <v>0.05</v>
      </c>
      <c r="J53">
        <v>200</v>
      </c>
      <c r="M53">
        <v>2000</v>
      </c>
      <c r="N53" s="2">
        <f t="shared" si="0"/>
        <v>9.8666666666666671</v>
      </c>
      <c r="O53" s="1"/>
      <c r="P53" s="1">
        <v>17.600000000000001</v>
      </c>
      <c r="Q53" s="1">
        <f t="shared" si="4"/>
        <v>0.26400000000000001</v>
      </c>
      <c r="R53" s="1"/>
      <c r="S53" s="1"/>
      <c r="T53" s="1"/>
      <c r="U53" s="1"/>
      <c r="V53" s="1"/>
    </row>
    <row r="54" spans="1:22" ht="15.75" customHeight="1" x14ac:dyDescent="0.25">
      <c r="A54" t="s">
        <v>79</v>
      </c>
      <c r="B54" t="s">
        <v>123</v>
      </c>
      <c r="C54">
        <v>-4</v>
      </c>
      <c r="D54">
        <v>0.16</v>
      </c>
      <c r="E54">
        <v>-10</v>
      </c>
      <c r="F54">
        <v>-10</v>
      </c>
      <c r="H54">
        <v>-0.1</v>
      </c>
      <c r="I54">
        <v>0.03</v>
      </c>
      <c r="J54">
        <v>150</v>
      </c>
      <c r="M54">
        <v>2500</v>
      </c>
      <c r="N54" s="2">
        <f t="shared" si="0"/>
        <v>10</v>
      </c>
      <c r="O54" s="1"/>
      <c r="P54" s="1">
        <v>11.3</v>
      </c>
      <c r="Q54" s="1">
        <f t="shared" si="4"/>
        <v>0.16950000000000001</v>
      </c>
      <c r="R54" s="1"/>
      <c r="S54" s="1"/>
      <c r="T54" s="1"/>
      <c r="U54" s="1"/>
      <c r="V54" s="1"/>
    </row>
    <row r="55" spans="1:22" ht="15.75" customHeight="1" x14ac:dyDescent="0.25">
      <c r="A55" t="s">
        <v>80</v>
      </c>
      <c r="B55" t="s">
        <v>124</v>
      </c>
      <c r="C55">
        <v>-3</v>
      </c>
      <c r="D55">
        <v>0.14000000000000001</v>
      </c>
      <c r="E55">
        <v>-3</v>
      </c>
      <c r="F55">
        <v>-3</v>
      </c>
      <c r="H55">
        <v>-0.08</v>
      </c>
      <c r="I55">
        <v>0.03</v>
      </c>
      <c r="J55">
        <v>130</v>
      </c>
      <c r="M55">
        <v>1000</v>
      </c>
      <c r="N55" s="2">
        <f t="shared" si="0"/>
        <v>1.2333333333333327</v>
      </c>
      <c r="O55" s="1"/>
      <c r="P55" s="1"/>
      <c r="Q55" s="1">
        <f t="shared" si="4"/>
        <v>0</v>
      </c>
      <c r="R55" s="1"/>
      <c r="S55" s="1"/>
      <c r="T55" s="1"/>
      <c r="U55" s="1"/>
      <c r="V55" s="1"/>
    </row>
    <row r="56" spans="1:22" ht="15.75" customHeight="1" x14ac:dyDescent="0.25">
      <c r="A56" t="s">
        <v>81</v>
      </c>
      <c r="B56" t="s">
        <v>125</v>
      </c>
      <c r="C56">
        <v>-5</v>
      </c>
      <c r="D56">
        <v>0.21</v>
      </c>
      <c r="E56">
        <v>-9</v>
      </c>
      <c r="F56">
        <v>-14</v>
      </c>
      <c r="H56">
        <v>-0.1</v>
      </c>
      <c r="I56">
        <v>0.05</v>
      </c>
      <c r="J56">
        <v>100</v>
      </c>
      <c r="M56">
        <v>1500</v>
      </c>
      <c r="N56" s="2">
        <f t="shared" si="0"/>
        <v>10.233333333333336</v>
      </c>
      <c r="O56" s="1"/>
      <c r="P56" s="1">
        <v>9.1999999999999993</v>
      </c>
      <c r="Q56" s="1">
        <f t="shared" si="4"/>
        <v>0.13799999999999998</v>
      </c>
      <c r="R56" s="1"/>
      <c r="S56" s="1"/>
      <c r="T56" s="1"/>
      <c r="U56" s="1"/>
      <c r="V56" s="1"/>
    </row>
    <row r="57" spans="1:22" ht="15.75" customHeight="1" x14ac:dyDescent="0.25">
      <c r="A57" t="s">
        <v>82</v>
      </c>
      <c r="B57" t="s">
        <v>126</v>
      </c>
      <c r="C57">
        <v>-5</v>
      </c>
      <c r="D57">
        <v>0.21</v>
      </c>
      <c r="E57">
        <v>-9</v>
      </c>
      <c r="F57">
        <v>-14</v>
      </c>
      <c r="H57">
        <v>-0.1</v>
      </c>
      <c r="I57">
        <v>0.05</v>
      </c>
      <c r="J57">
        <v>100</v>
      </c>
      <c r="M57">
        <v>1500</v>
      </c>
      <c r="N57" s="2">
        <f t="shared" si="0"/>
        <v>10.233333333333336</v>
      </c>
      <c r="O57" s="1"/>
      <c r="P57" s="1"/>
      <c r="Q57" s="1">
        <f t="shared" si="4"/>
        <v>0</v>
      </c>
      <c r="R57" s="1"/>
      <c r="S57" s="1"/>
      <c r="T57" s="1"/>
      <c r="U57" s="1"/>
      <c r="V57" s="1"/>
    </row>
    <row r="58" spans="1:22" ht="15.75" customHeight="1" x14ac:dyDescent="0.25">
      <c r="A58" t="s">
        <v>41</v>
      </c>
      <c r="B58" t="s">
        <v>127</v>
      </c>
      <c r="C58">
        <v>-3</v>
      </c>
      <c r="D58">
        <v>0.12</v>
      </c>
      <c r="E58">
        <v>-10</v>
      </c>
      <c r="F58">
        <v>-8</v>
      </c>
      <c r="H58">
        <v>-0.06</v>
      </c>
      <c r="I58">
        <v>0.04</v>
      </c>
      <c r="J58">
        <v>120</v>
      </c>
      <c r="M58">
        <v>1500</v>
      </c>
      <c r="N58" s="2">
        <f t="shared" si="0"/>
        <v>10.299999999999999</v>
      </c>
      <c r="O58" s="1"/>
      <c r="P58" s="1">
        <v>7</v>
      </c>
      <c r="Q58" s="1">
        <f t="shared" si="4"/>
        <v>0.105</v>
      </c>
      <c r="R58" s="1"/>
      <c r="S58" s="1"/>
      <c r="T58" s="1"/>
      <c r="U58" s="1"/>
      <c r="V58" s="1"/>
    </row>
    <row r="59" spans="1:22" ht="15.75" customHeight="1" x14ac:dyDescent="0.25">
      <c r="A59" t="s">
        <v>42</v>
      </c>
      <c r="B59" t="s">
        <v>128</v>
      </c>
      <c r="C59">
        <v>-5</v>
      </c>
      <c r="D59">
        <v>0.15</v>
      </c>
      <c r="E59">
        <v>-11</v>
      </c>
      <c r="F59">
        <v>-9</v>
      </c>
      <c r="H59">
        <v>-0.11</v>
      </c>
      <c r="I59">
        <v>0.05</v>
      </c>
      <c r="J59">
        <v>160</v>
      </c>
      <c r="M59">
        <v>2000</v>
      </c>
      <c r="N59" s="2">
        <f t="shared" si="0"/>
        <v>10.383333333333333</v>
      </c>
      <c r="O59" s="1"/>
      <c r="P59" s="1"/>
      <c r="Q59" s="1">
        <f t="shared" si="4"/>
        <v>0</v>
      </c>
      <c r="R59" s="1"/>
      <c r="S59" s="1"/>
      <c r="T59" s="1"/>
      <c r="U59" s="1"/>
      <c r="V59" s="1"/>
    </row>
    <row r="60" spans="1:22" ht="15.75" customHeight="1" x14ac:dyDescent="0.25">
      <c r="A60" t="s">
        <v>43</v>
      </c>
      <c r="B60" t="s">
        <v>129</v>
      </c>
      <c r="C60">
        <v>-7</v>
      </c>
      <c r="D60">
        <v>0.18</v>
      </c>
      <c r="E60">
        <v>-12</v>
      </c>
      <c r="F60">
        <v>-10</v>
      </c>
      <c r="H60">
        <v>-0.15</v>
      </c>
      <c r="I60">
        <v>0.06</v>
      </c>
      <c r="J60">
        <v>200</v>
      </c>
      <c r="M60">
        <v>3000</v>
      </c>
      <c r="N60" s="2">
        <f t="shared" si="0"/>
        <v>10.316666666666668</v>
      </c>
      <c r="O60" s="1"/>
      <c r="P60" s="1">
        <v>11</v>
      </c>
      <c r="Q60" s="1">
        <f t="shared" si="4"/>
        <v>0.16499999999999998</v>
      </c>
      <c r="R60" s="1"/>
      <c r="S60" s="1"/>
      <c r="T60" s="1"/>
      <c r="U60" s="1"/>
      <c r="V60" s="1"/>
    </row>
    <row r="61" spans="1:22" ht="15.75" customHeight="1" x14ac:dyDescent="0.25">
      <c r="A61" t="s">
        <v>44</v>
      </c>
      <c r="B61" t="s">
        <v>130</v>
      </c>
      <c r="C61">
        <v>-1</v>
      </c>
      <c r="D61">
        <v>0.05</v>
      </c>
      <c r="E61">
        <v>-5</v>
      </c>
      <c r="F61">
        <v>-5</v>
      </c>
      <c r="H61">
        <v>0.05</v>
      </c>
      <c r="I61">
        <v>-0.01</v>
      </c>
      <c r="J61">
        <v>-30</v>
      </c>
      <c r="M61">
        <v>700</v>
      </c>
      <c r="N61" s="2">
        <f t="shared" si="0"/>
        <v>3.75</v>
      </c>
      <c r="O61" s="1"/>
      <c r="P61" s="1">
        <v>2</v>
      </c>
      <c r="Q61" s="1">
        <f t="shared" si="4"/>
        <v>0.03</v>
      </c>
      <c r="R61" s="1"/>
      <c r="S61" s="1"/>
      <c r="T61" s="1"/>
      <c r="U61" s="1"/>
      <c r="V61" s="1"/>
    </row>
    <row r="62" spans="1:22" ht="15.75" customHeight="1" x14ac:dyDescent="0.25">
      <c r="A62" t="s">
        <v>45</v>
      </c>
      <c r="B62" t="s">
        <v>131</v>
      </c>
      <c r="C62">
        <v>-1</v>
      </c>
      <c r="D62">
        <v>0.04</v>
      </c>
      <c r="E62">
        <v>-9</v>
      </c>
      <c r="F62">
        <v>-9</v>
      </c>
      <c r="H62">
        <v>0</v>
      </c>
      <c r="I62">
        <v>0</v>
      </c>
      <c r="J62">
        <v>-30</v>
      </c>
      <c r="M62">
        <v>300</v>
      </c>
      <c r="N62" s="2">
        <f t="shared" si="0"/>
        <v>10.700000000000001</v>
      </c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5">
      <c r="A63" t="s">
        <v>83</v>
      </c>
      <c r="B63" t="s">
        <v>132</v>
      </c>
      <c r="C63">
        <v>-6</v>
      </c>
      <c r="D63">
        <v>0.18</v>
      </c>
      <c r="E63">
        <v>-13</v>
      </c>
      <c r="F63">
        <v>-13</v>
      </c>
      <c r="H63">
        <v>-0.15</v>
      </c>
      <c r="I63">
        <v>0.04</v>
      </c>
      <c r="J63">
        <v>150</v>
      </c>
      <c r="M63">
        <v>1000</v>
      </c>
      <c r="N63" s="2">
        <f t="shared" si="0"/>
        <v>12.950000000000001</v>
      </c>
      <c r="O63" s="1"/>
      <c r="P63" s="1">
        <v>12.6</v>
      </c>
      <c r="Q63" s="1">
        <f>P63*0.015</f>
        <v>0.189</v>
      </c>
      <c r="R63" s="1"/>
      <c r="S63" s="1"/>
      <c r="T63" s="1"/>
      <c r="U63" s="1"/>
      <c r="V63" s="1"/>
    </row>
    <row r="64" spans="1:22" ht="15.75" customHeight="1" x14ac:dyDescent="0.25">
      <c r="A64" t="s">
        <v>84</v>
      </c>
      <c r="B64" t="s">
        <v>133</v>
      </c>
      <c r="C64">
        <v>0</v>
      </c>
      <c r="D64">
        <v>0.03</v>
      </c>
      <c r="M64">
        <v>200</v>
      </c>
      <c r="N64" s="2">
        <f t="shared" si="0"/>
        <v>-0.6</v>
      </c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5">
      <c r="N65" s="2">
        <f t="shared" si="0"/>
        <v>0</v>
      </c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5">
      <c r="A66" t="s">
        <v>46</v>
      </c>
      <c r="B66" t="s">
        <v>134</v>
      </c>
      <c r="C66">
        <v>-1</v>
      </c>
      <c r="D66">
        <v>0.05</v>
      </c>
      <c r="E66">
        <v>0</v>
      </c>
      <c r="F66">
        <v>-1</v>
      </c>
      <c r="H66">
        <v>0.05</v>
      </c>
      <c r="I66">
        <v>0</v>
      </c>
      <c r="J66">
        <v>20</v>
      </c>
      <c r="M66">
        <v>500</v>
      </c>
      <c r="N66" s="2">
        <f t="shared" si="0"/>
        <v>-2.083333333333333</v>
      </c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5">
      <c r="A67" t="s">
        <v>47</v>
      </c>
      <c r="B67" t="s">
        <v>135</v>
      </c>
      <c r="C67">
        <v>-2</v>
      </c>
      <c r="D67">
        <v>0.09</v>
      </c>
      <c r="E67">
        <v>0</v>
      </c>
      <c r="F67">
        <v>-2</v>
      </c>
      <c r="H67">
        <v>0.1</v>
      </c>
      <c r="I67">
        <v>0</v>
      </c>
      <c r="J67">
        <v>40</v>
      </c>
      <c r="M67">
        <v>750</v>
      </c>
      <c r="N67" s="2">
        <f t="shared" si="0"/>
        <v>-3.9666666666666663</v>
      </c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5">
      <c r="A68" t="s">
        <v>48</v>
      </c>
      <c r="B68" t="s">
        <v>136</v>
      </c>
      <c r="C68">
        <v>-3</v>
      </c>
      <c r="D68">
        <v>0.17</v>
      </c>
      <c r="E68">
        <v>0</v>
      </c>
      <c r="F68">
        <v>-4</v>
      </c>
      <c r="H68">
        <v>0.2</v>
      </c>
      <c r="I68">
        <v>0</v>
      </c>
      <c r="J68">
        <v>80</v>
      </c>
      <c r="M68">
        <v>1000</v>
      </c>
      <c r="N68" s="2">
        <f t="shared" si="0"/>
        <v>-6.7333333333333334</v>
      </c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1"/>
      <c r="P1000" s="1"/>
      <c r="Q1000" s="1"/>
      <c r="R1000" s="1"/>
      <c r="S1000" s="1"/>
      <c r="T1000" s="1"/>
      <c r="U1000" s="1"/>
      <c r="V1000" s="1"/>
    </row>
    <row r="1001" spans="1:22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2"/>
      <c r="O1001" s="1"/>
      <c r="P1001" s="1"/>
      <c r="Q1001" s="1"/>
      <c r="R1001" s="1"/>
      <c r="S1001" s="1"/>
      <c r="T1001" s="1"/>
      <c r="U1001" s="1"/>
      <c r="V1001" s="1"/>
    </row>
    <row r="1002" spans="1:22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2"/>
      <c r="O1002" s="1"/>
      <c r="P1002" s="1"/>
      <c r="Q1002" s="1"/>
      <c r="R1002" s="1"/>
      <c r="S1002" s="1"/>
      <c r="T1002" s="1"/>
      <c r="U1002" s="1"/>
      <c r="V1002" s="1"/>
    </row>
    <row r="1003" spans="1:22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2"/>
      <c r="O1003" s="1"/>
      <c r="P1003" s="1"/>
      <c r="Q1003" s="1"/>
      <c r="R1003" s="1"/>
      <c r="S1003" s="1"/>
      <c r="T1003" s="1"/>
      <c r="U1003" s="1"/>
      <c r="V1003" s="1"/>
    </row>
    <row r="1004" spans="1:22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2"/>
      <c r="O1004" s="1"/>
      <c r="P1004" s="1"/>
      <c r="Q1004" s="1"/>
      <c r="R1004" s="1"/>
      <c r="S1004" s="1"/>
      <c r="T1004" s="1"/>
      <c r="U1004" s="1"/>
      <c r="V1004" s="1"/>
    </row>
    <row r="1005" spans="1:22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2"/>
      <c r="O1005" s="1"/>
      <c r="P1005" s="1"/>
      <c r="Q1005" s="1"/>
      <c r="R1005" s="1"/>
      <c r="S1005" s="1"/>
      <c r="T1005" s="1"/>
      <c r="U1005" s="1"/>
      <c r="V1005" s="1"/>
    </row>
    <row r="1006" spans="1:22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2"/>
      <c r="O1006" s="1"/>
      <c r="P1006" s="1"/>
      <c r="Q1006" s="1"/>
      <c r="R1006" s="1"/>
      <c r="S1006" s="1"/>
      <c r="T1006" s="1"/>
      <c r="U1006" s="1"/>
      <c r="V1006" s="1"/>
    </row>
    <row r="1007" spans="1:22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2"/>
      <c r="O1007" s="1"/>
      <c r="P1007" s="1"/>
      <c r="Q1007" s="1"/>
      <c r="R1007" s="1"/>
      <c r="S1007" s="1"/>
      <c r="T1007" s="1"/>
      <c r="U1007" s="1"/>
      <c r="V1007" s="1"/>
    </row>
    <row r="1008" spans="1:22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2"/>
      <c r="O1008" s="1"/>
      <c r="P1008" s="1"/>
      <c r="Q1008" s="1"/>
      <c r="R1008" s="1"/>
      <c r="S1008" s="1"/>
      <c r="T1008" s="1"/>
      <c r="U1008" s="1"/>
      <c r="V1008" s="1"/>
    </row>
    <row r="1009" spans="1:22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2"/>
      <c r="O1009" s="1"/>
      <c r="P1009" s="1"/>
      <c r="Q1009" s="1"/>
      <c r="R1009" s="1"/>
      <c r="S1009" s="1"/>
      <c r="T1009" s="1"/>
      <c r="U1009" s="1"/>
      <c r="V1009" s="1"/>
    </row>
    <row r="1010" spans="1:22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"/>
      <c r="O1010" s="1"/>
      <c r="P1010" s="1"/>
      <c r="Q1010" s="1"/>
      <c r="R1010" s="1"/>
      <c r="S1010" s="1"/>
      <c r="T1010" s="1"/>
      <c r="U1010" s="1"/>
      <c r="V1010" s="1"/>
    </row>
    <row r="1011" spans="1:22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2"/>
      <c r="O1011" s="1"/>
      <c r="P1011" s="1"/>
      <c r="Q1011" s="1"/>
      <c r="R1011" s="1"/>
      <c r="S1011" s="1"/>
      <c r="T1011" s="1"/>
      <c r="U1011" s="1"/>
      <c r="V1011" s="1"/>
    </row>
    <row r="1012" spans="1:22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2"/>
      <c r="O1012" s="1"/>
      <c r="P1012" s="1"/>
      <c r="Q1012" s="1"/>
      <c r="R1012" s="1"/>
      <c r="S1012" s="1"/>
      <c r="T1012" s="1"/>
      <c r="U1012" s="1"/>
      <c r="V1012" s="1"/>
    </row>
    <row r="1013" spans="1:22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2"/>
      <c r="O1013" s="1"/>
      <c r="P1013" s="1"/>
      <c r="Q1013" s="1"/>
      <c r="R1013" s="1"/>
      <c r="S1013" s="1"/>
      <c r="T1013" s="1"/>
      <c r="U1013" s="1"/>
      <c r="V1013" s="1"/>
    </row>
    <row r="1014" spans="1:22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2"/>
      <c r="O1014" s="1"/>
      <c r="P1014" s="1"/>
      <c r="Q1014" s="1"/>
      <c r="R1014" s="1"/>
      <c r="S1014" s="1"/>
      <c r="T1014" s="1"/>
      <c r="U1014" s="1"/>
      <c r="V1014" s="1"/>
    </row>
    <row r="1015" spans="1:22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2"/>
      <c r="O1015" s="1"/>
      <c r="P1015" s="1"/>
      <c r="Q1015" s="1"/>
      <c r="R1015" s="1"/>
      <c r="S1015" s="1"/>
      <c r="T1015" s="1"/>
      <c r="U1015" s="1"/>
      <c r="V1015" s="1"/>
    </row>
    <row r="1016" spans="1:22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2"/>
      <c r="O1016" s="1"/>
      <c r="P1016" s="1"/>
      <c r="Q1016" s="1"/>
      <c r="R1016" s="1"/>
      <c r="S1016" s="1"/>
      <c r="T1016" s="1"/>
      <c r="U1016" s="1"/>
      <c r="V1016" s="1"/>
    </row>
    <row r="1017" spans="1:22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2"/>
      <c r="O1017" s="1"/>
      <c r="P1017" s="1"/>
      <c r="Q1017" s="1"/>
      <c r="R1017" s="1"/>
      <c r="S1017" s="1"/>
      <c r="T1017" s="1"/>
      <c r="U1017" s="1"/>
      <c r="V1017" s="1"/>
    </row>
    <row r="1018" spans="1:22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"/>
      <c r="O1018" s="1"/>
      <c r="P1018" s="1"/>
      <c r="Q1018" s="1"/>
      <c r="R1018" s="1"/>
      <c r="S1018" s="1"/>
      <c r="T1018" s="1"/>
      <c r="U1018" s="1"/>
      <c r="V1018" s="1"/>
    </row>
    <row r="1019" spans="1:22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2"/>
      <c r="O1019" s="1"/>
      <c r="P1019" s="1"/>
      <c r="Q1019" s="1"/>
      <c r="R1019" s="1"/>
      <c r="S1019" s="1"/>
      <c r="T1019" s="1"/>
      <c r="U1019" s="1"/>
      <c r="V1019" s="1"/>
    </row>
    <row r="1020" spans="1:22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"/>
      <c r="O1020" s="1"/>
      <c r="P1020" s="1"/>
      <c r="Q1020" s="1"/>
      <c r="R1020" s="1"/>
      <c r="S1020" s="1"/>
      <c r="T1020" s="1"/>
      <c r="U1020" s="1"/>
      <c r="V1020" s="1"/>
    </row>
    <row r="1021" spans="1:22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2"/>
      <c r="O1021" s="1"/>
      <c r="P1021" s="1"/>
      <c r="Q1021" s="1"/>
      <c r="R1021" s="1"/>
      <c r="S1021" s="1"/>
      <c r="T1021" s="1"/>
      <c r="U1021" s="1"/>
      <c r="V1021" s="1"/>
    </row>
    <row r="1022" spans="1:22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2"/>
      <c r="O1022" s="1"/>
      <c r="P1022" s="1"/>
      <c r="Q1022" s="1"/>
      <c r="R1022" s="1"/>
      <c r="S1022" s="1"/>
      <c r="T1022" s="1"/>
      <c r="U1022" s="1"/>
      <c r="V1022" s="1"/>
    </row>
    <row r="1023" spans="1:22" ht="15.7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2"/>
      <c r="O1023" s="1"/>
      <c r="P1023" s="1"/>
      <c r="Q1023" s="1"/>
      <c r="R1023" s="1"/>
      <c r="S1023" s="1"/>
      <c r="T1023" s="1"/>
      <c r="U1023" s="1"/>
      <c r="V1023" s="1"/>
    </row>
    <row r="1024" spans="1:22" ht="15.7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2"/>
      <c r="O1024" s="1"/>
      <c r="P1024" s="1"/>
      <c r="Q1024" s="1"/>
      <c r="R1024" s="1"/>
      <c r="S1024" s="1"/>
      <c r="T1024" s="1"/>
      <c r="U1024" s="1"/>
      <c r="V1024" s="1"/>
    </row>
    <row r="1025" spans="1:22" ht="15.75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2"/>
      <c r="O1025" s="1"/>
      <c r="P1025" s="1"/>
      <c r="Q1025" s="1"/>
      <c r="R1025" s="1"/>
      <c r="S1025" s="1"/>
      <c r="T1025" s="1"/>
      <c r="U1025" s="1"/>
      <c r="V1025" s="1"/>
    </row>
    <row r="1026" spans="1:22" ht="15.75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2"/>
      <c r="O1026" s="1"/>
      <c r="P1026" s="1"/>
      <c r="Q1026" s="1"/>
      <c r="R1026" s="1"/>
      <c r="S1026" s="1"/>
      <c r="T1026" s="1"/>
      <c r="U1026" s="1"/>
      <c r="V1026" s="1"/>
    </row>
    <row r="1027" spans="1:22" ht="15.75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2"/>
      <c r="O1027" s="1"/>
      <c r="P1027" s="1"/>
      <c r="Q1027" s="1"/>
      <c r="R1027" s="1"/>
      <c r="S1027" s="1"/>
      <c r="T1027" s="1"/>
      <c r="U1027" s="1"/>
      <c r="V1027" s="1"/>
    </row>
  </sheetData>
  <conditionalFormatting sqref="C3:N41 H42:H65 C42:G68 I42:N68">
    <cfRule type="expression" dxfId="0" priority="1">
      <formula>C3&lt;&gt;#REF!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308-barrels-muzzles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Wen, Yifan  (Student)</cp:lastModifiedBy>
  <dcterms:modified xsi:type="dcterms:W3CDTF">2026-08-02T20:51:46Z</dcterms:modified>
</cp:coreProperties>
</file>