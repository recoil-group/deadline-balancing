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dev\deadline-balancing\changes\"/>
    </mc:Choice>
  </mc:AlternateContent>
  <xr:revisionPtr revIDLastSave="0" documentId="13_ncr:1_{07855C36-F8FF-4EEF-AACC-A71A8C347BD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08-barrels-muzz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8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3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6" i="1"/>
  <c r="R45" i="1"/>
  <c r="R44" i="1"/>
  <c r="R43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41" i="1" l="1"/>
  <c r="W47" i="1"/>
  <c r="W40" i="1"/>
</calcChain>
</file>

<file path=xl/sharedStrings.xml><?xml version="1.0" encoding="utf-8"?>
<sst xmlns="http://schemas.openxmlformats.org/spreadsheetml/2006/main" count="139" uniqueCount="138">
  <si>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</si>
  <si>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</si>
  <si>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</si>
  <si>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</si>
  <si>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</si>
  <si>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</si>
  <si>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</si>
  <si>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</si>
  <si>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</si>
  <si>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</si>
  <si>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</si>
  <si>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buck_bullet_deviation</t>
  </si>
  <si>
    <t>fire_rate</t>
  </si>
  <si>
    <t>muzzle_loudness</t>
  </si>
  <si>
    <t>price</t>
  </si>
  <si>
    <t>strength</t>
  </si>
  <si>
    <t>irl weight (oz)</t>
  </si>
  <si>
    <t>converted weight</t>
  </si>
  <si>
    <t>base</t>
  </si>
  <si>
    <t>length</t>
  </si>
  <si>
    <t>mod</t>
  </si>
  <si>
    <t>AK308</t>
  </si>
  <si>
    <t>Kazarov Group AK-308</t>
  </si>
  <si>
    <t>ak308_std_415mm_barrel</t>
  </si>
  <si>
    <t>AK-308 415mm 7.62x51</t>
  </si>
  <si>
    <t>custom_ak308_7.62x51_415mm_threaded_barrel</t>
  </si>
  <si>
    <t>Custom AK-308 415mm Threaded 7.62x51</t>
  </si>
  <si>
    <t>ak308_7.62x51_muzzle_brake</t>
  </si>
  <si>
    <t>G3</t>
  </si>
  <si>
    <t>KF KG-31</t>
  </si>
  <si>
    <t>hk_g3_406mm_barrel</t>
  </si>
  <si>
    <t>CTR 91 406mm 7.62x51</t>
  </si>
  <si>
    <t>hk_g3_457mm_barrel</t>
  </si>
  <si>
    <t>CTR 91 457mm 7.62x51</t>
  </si>
  <si>
    <t>hk_msg90a1_threaded_600mm_barrel</t>
  </si>
  <si>
    <t>MKG90A1 Threaded 600mm 7.62x51</t>
  </si>
  <si>
    <t>hk_psg1_bull_650mm_barrel</t>
  </si>
  <si>
    <t>SKG-31 Bull 650mm 7.62x51</t>
  </si>
  <si>
    <t>ferro_ordnance_mc51_211mm_7.62x51_barrel</t>
  </si>
  <si>
    <t>Ferro Ordnance Group KG-51C 211mm 7.62x51</t>
  </si>
  <si>
    <t>ferro_ordnance_mc51k_145mm_7.62x51_barrel</t>
  </si>
  <si>
    <t>Ferro Ordnance Group KG-51C 145mm 7.62x51</t>
  </si>
  <si>
    <t>ferro_ordnance_mc51sd_125mm_7.62x51_barrel</t>
  </si>
  <si>
    <t>Ferro Ordnance Group KG-51SD 125mm 7.62x51</t>
  </si>
  <si>
    <t>ferro_ordnance_mc51sd_suppressor</t>
  </si>
  <si>
    <t>Ferro Ordnance Group KG-51SD</t>
  </si>
  <si>
    <t>tubewerx_m15x1rh_to_5_8x24_thread_adapter</t>
  </si>
  <si>
    <t>Tubewerx M15x1RH to 5/8x24 Thread</t>
  </si>
  <si>
    <t>hk_bird_cage_flash_hider_m15x1rh</t>
  </si>
  <si>
    <t>Bird Cage Style M15x1RH 7.62x51 NATO</t>
  </si>
  <si>
    <t>SA58</t>
  </si>
  <si>
    <t>RSA SG-58</t>
  </si>
  <si>
    <t>rsa_sa58_210mm_premium_pistol_barrel</t>
  </si>
  <si>
    <t>RSA SA-58 8.25" Premium Pistol</t>
  </si>
  <si>
    <t>rsa_sa58_305mm_barrel</t>
  </si>
  <si>
    <t>RSA SA-58 12"</t>
  </si>
  <si>
    <t>rsa_sa58_330mm_barrel</t>
  </si>
  <si>
    <t>RSA SA-58 13"</t>
  </si>
  <si>
    <t>rsa_sa58_406mm_fluted_barrel</t>
  </si>
  <si>
    <t>RSA SA-58 16" Fluted</t>
  </si>
  <si>
    <t>rsa_sa58_406mm_barrel</t>
  </si>
  <si>
    <t>RSA SA-58 16"</t>
  </si>
  <si>
    <t>rsa_sa58_457mm_barrel</t>
  </si>
  <si>
    <t>RSA SA-58 18"</t>
  </si>
  <si>
    <t>rsa_sa58_533mm_barrel</t>
  </si>
  <si>
    <t>RSA SA-58 21"</t>
  </si>
  <si>
    <t>SCARH</t>
  </si>
  <si>
    <t>AFT MK-17</t>
  </si>
  <si>
    <t>hi_dog_hdd_tactical_scarh_267mm_7.62x51_barrel</t>
  </si>
  <si>
    <t>Hi-Dog HDD Tactical FANG-H 7.62x51 267mm</t>
  </si>
  <si>
    <t>aft_mk_17_330mm_barrel</t>
  </si>
  <si>
    <t>AFT MK-17 330mm</t>
  </si>
  <si>
    <t>aft_mk_17_406mm_barrel</t>
  </si>
  <si>
    <t>AFT MK-17 406mm</t>
  </si>
  <si>
    <t>barreltech_scar20_spiral_406mm_threaded_barrel</t>
  </si>
  <si>
    <t>Barreltech AFT 20 Spiral 16" Threaded</t>
  </si>
  <si>
    <t>aft_mk_17_508mm_barrel</t>
  </si>
  <si>
    <t>AFT MK-17 508mm</t>
  </si>
  <si>
    <t>barreltech_scar20_spiral_508mm_threaded_barrel</t>
  </si>
  <si>
    <t>Barreltech AFT 20 Spiral 20" Threaded</t>
  </si>
  <si>
    <t>aft_mk20_508mm_barrel</t>
  </si>
  <si>
    <t>AFT Mk20 508mm</t>
  </si>
  <si>
    <t>rsa_3prong_trident_7.62x51_flash_hider</t>
  </si>
  <si>
    <t>RSA 3-Prong Trident 7.62x51</t>
  </si>
  <si>
    <t>rsa_warz_series_7.62x51_flash_hider</t>
  </si>
  <si>
    <t>RSA WarZ Series 7.62x51</t>
  </si>
  <si>
    <t>fn_fal_austrian_7.62x51_stg58_flash_hider</t>
  </si>
  <si>
    <t>RSA SA-58 Austrian STG58 7.62x51</t>
  </si>
  <si>
    <t>fn_fal_7.62x51_belgian_flash_hider</t>
  </si>
  <si>
    <t>RSA SA-58 Belgian Style 7.62x51</t>
  </si>
  <si>
    <t>aft17_7.62x51_3prong_european_flash_hider</t>
  </si>
  <si>
    <t>AF Tournai Mk17 .308 3-Prong European</t>
  </si>
  <si>
    <t>ewc_scar_sd_blackout_51_tooth_flashhider_supp_mount</t>
  </si>
  <si>
    <t>EWC AFT-SD Blackout 51-Tooth Flash Hider</t>
  </si>
  <si>
    <t>lantac_dgn762b_asr_muzzle_brake</t>
  </si>
  <si>
    <t>PGTac DGN762B-ASR</t>
  </si>
  <si>
    <t>centrefire_socom762_sfmb_muzzle_brake</t>
  </si>
  <si>
    <t>Centrefire SOCOM 7.62 SFMB</t>
  </si>
  <si>
    <t>smite_industries_jcomp_gen2_7.62x51_muzzle_brake</t>
  </si>
  <si>
    <t>Smite Industries JCOMP Gen2 7.62x51</t>
  </si>
  <si>
    <t>rhodesian_halbek_muzzle_device</t>
  </si>
  <si>
    <t>Rhodesian Reproduction Halbek</t>
  </si>
  <si>
    <t>tiger_rock_ar10_7.62x51_barrett_style_muzzle_brake_with_jam_nut</t>
  </si>
  <si>
    <t>Panther Rock AR-10 .308 Barrett Style Muzzle Brake with Jam Nut</t>
  </si>
  <si>
    <t>centrefire_warden_blast_regulator</t>
  </si>
  <si>
    <t>Centrefire Warden Fast-Attach</t>
  </si>
  <si>
    <t>smite_industries_oppressor_blast_shield</t>
  </si>
  <si>
    <t>Smite Industries Oppressor Blast Shield</t>
  </si>
  <si>
    <t>sig_srd762ti_suppressor</t>
  </si>
  <si>
    <t>SRD762Ti</t>
  </si>
  <si>
    <t>spiderweb_bpr_suppressor_system_bpr_1425</t>
  </si>
  <si>
    <t>Spiderweb BPR System BPR-1425</t>
  </si>
  <si>
    <t>spiderweb_bpr_suppressor_system_srm_6</t>
  </si>
  <si>
    <t>Spiderweb BPR System SRM-6</t>
  </si>
  <si>
    <t>suppressors_inc_osprey45_gen1_45acp_suppressor_7.62x51_piston</t>
  </si>
  <si>
    <t>Suppressors Inc. Osprey 45 Gen 1 .45ACP w/ 7.62x51 Piston</t>
  </si>
  <si>
    <t>suppressors_inc_osprey45_gen1_45acp_suppressor_7.62x51_piston_flipped</t>
  </si>
  <si>
    <t>Suppressors Inc. Osprey 45 Gen 1 .45ACP w/ 7.62x51 Piston Flipped</t>
  </si>
  <si>
    <t>odin_works_tiduro_.338_modular_no_baffle_suppressor</t>
  </si>
  <si>
    <t>Odin Works Tiduro .338 Modular No Baffle</t>
  </si>
  <si>
    <t>odin_works_tiduro_.338_modular_3_baffle_suppressor</t>
  </si>
  <si>
    <t>Odin Works Tiduro .338 Modular 3 Baffle</t>
  </si>
  <si>
    <t>odin_works_tiduro_.338_modular_5_baffle_suppressor</t>
  </si>
  <si>
    <t>Odin Works Tiduro .338 Modular 5 Baffle</t>
  </si>
  <si>
    <t>odin_works_tiduro_modular_compensator</t>
  </si>
  <si>
    <t>Odin Works Tiduro Modular</t>
  </si>
  <si>
    <t>odin_works_tiduro_thread_adapter_module</t>
  </si>
  <si>
    <t>Odin Works Tiduro Thread Adapter Module</t>
  </si>
  <si>
    <t>suppressors_inc_omega_300_suppressor</t>
  </si>
  <si>
    <t>Suppressors Inc. OMEGA 300</t>
  </si>
  <si>
    <t>suppressors_inc_qd_asr_mount</t>
  </si>
  <si>
    <t>Suppressors Inc. QD ASR Mount</t>
  </si>
  <si>
    <t>ips_7.62x51_1inch_barrel_extension</t>
  </si>
  <si>
    <t>IPS 1" 7.62x51</t>
  </si>
  <si>
    <t>ips_7.62x51_2inch_barrel_extension</t>
  </si>
  <si>
    <t>IPS 2" 7.62x51</t>
  </si>
  <si>
    <t>ips_7.62x51_4inch_barrel_extension</t>
  </si>
  <si>
    <t>IPS 4" 7.62x51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</si>
</sst>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1">
    <dxf>
      <fill>
        <patternFill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27"/>
  <sheetViews>
    <sheetView tabSelected="1" zoomScaleNormal="100" workbookViewId="0">
      <selection activeCell="R12" sqref="R12"/>
    </sheetView>
  </sheetViews>
  <sheetFormatPr defaultColWidth="14.42578125" defaultRowHeight="15" x14ac:dyDescent="0.25"/>
  <cols>
    <col min="1" max="1" width="27" customWidth="1"/>
    <col min="2" max="2" width="57.28515625" customWidth="1"/>
    <col min="3" max="23" width="7.7109375" customWidth="1"/>
  </cols>
  <sheetData>
    <row r="1" spans="1:23" x14ac:dyDescent="0.25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1"/>
      <c r="V1" s="1"/>
      <c r="W1" s="1"/>
    </row>
    <row r="2" spans="1:23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2" t="s">
        <v>15</v>
      </c>
      <c r="P2" s="1"/>
      <c r="Q2" s="1" t="s">
        <v>16</v>
      </c>
      <c r="R2" s="1" t="s">
        <v>17</v>
      </c>
      <c r="S2" s="1"/>
      <c r="T2" s="1" t="s">
        <v>18</v>
      </c>
      <c r="U2" s="1" t="s">
        <v>19</v>
      </c>
      <c r="V2" s="1" t="s">
        <v>20</v>
      </c>
      <c r="W2" s="1"/>
    </row>
    <row r="3" spans="1:23" x14ac:dyDescent="0.25">
      <c r="A3" t="s">
        <v>21</v>
      </c>
      <c r="B3" t="s">
        <v>22</v>
      </c>
      <c r="C3">
        <v>20</v>
      </c>
      <c r="D3">
        <v>0</v>
      </c>
      <c r="E3">
        <v>80</v>
      </c>
      <c r="F3">
        <v>100</v>
      </c>
      <c r="G3">
        <v>0</v>
      </c>
      <c r="H3">
        <v>0.75</v>
      </c>
      <c r="I3">
        <v>1</v>
      </c>
      <c r="J3">
        <v>2100</v>
      </c>
      <c r="M3">
        <v>1</v>
      </c>
      <c r="N3">
        <v>65000</v>
      </c>
      <c r="O3" s="2">
        <f>C3-D3*20-E3*0.8-F3*0.6-H3*15+I3*40+J3/200-M3*5</f>
        <v>-69.75</v>
      </c>
      <c r="P3" s="1"/>
      <c r="Q3" s="1"/>
      <c r="R3" s="1"/>
      <c r="S3" s="1"/>
    </row>
    <row r="4" spans="1:23" x14ac:dyDescent="0.25">
      <c r="A4" t="s">
        <v>23</v>
      </c>
      <c r="B4" t="s">
        <v>24</v>
      </c>
      <c r="C4">
        <v>0</v>
      </c>
      <c r="D4">
        <v>1.45</v>
      </c>
      <c r="E4">
        <v>0</v>
      </c>
      <c r="F4">
        <v>0</v>
      </c>
      <c r="H4">
        <v>0</v>
      </c>
      <c r="I4">
        <v>0</v>
      </c>
      <c r="J4">
        <v>0</v>
      </c>
      <c r="N4">
        <v>0</v>
      </c>
      <c r="O4" s="2">
        <f t="shared" ref="O4:O67" si="0">C4-D4*20-E4*0.8-F4*0.6-H4*15+I4*40+J4/200-M4*5</f>
        <v>-29</v>
      </c>
      <c r="P4" s="1"/>
      <c r="Q4" s="1"/>
      <c r="R4" s="1"/>
      <c r="S4" s="1"/>
      <c r="T4" s="1">
        <v>0.3</v>
      </c>
      <c r="U4" s="1">
        <v>16.3386</v>
      </c>
      <c r="V4" s="1"/>
      <c r="W4" s="1">
        <f t="shared" ref="W4:W36" si="1">T4+U4*0.038+V4</f>
        <v>0.92086679999999999</v>
      </c>
    </row>
    <row r="5" spans="1:23" x14ac:dyDescent="0.25">
      <c r="A5" t="s">
        <v>25</v>
      </c>
      <c r="B5" t="s">
        <v>26</v>
      </c>
      <c r="C5">
        <v>-1</v>
      </c>
      <c r="D5">
        <v>1.45</v>
      </c>
      <c r="E5">
        <v>1</v>
      </c>
      <c r="F5">
        <v>1</v>
      </c>
      <c r="H5">
        <v>0.1</v>
      </c>
      <c r="I5">
        <v>0</v>
      </c>
      <c r="J5">
        <v>0</v>
      </c>
      <c r="N5">
        <v>1000</v>
      </c>
      <c r="O5" s="2">
        <f t="shared" si="0"/>
        <v>-32.900000000000006</v>
      </c>
      <c r="P5" s="1"/>
      <c r="Q5" s="1"/>
      <c r="R5" s="1"/>
      <c r="S5" s="1"/>
      <c r="T5" s="1">
        <v>0.3</v>
      </c>
      <c r="U5" s="1">
        <v>16.3386</v>
      </c>
      <c r="V5" s="1"/>
      <c r="W5" s="1">
        <f t="shared" si="1"/>
        <v>0.92086679999999999</v>
      </c>
    </row>
    <row r="6" spans="1:23" ht="15.75" customHeight="1" x14ac:dyDescent="0.25">
      <c r="A6" t="s">
        <v>27</v>
      </c>
      <c r="B6" t="s">
        <v>22</v>
      </c>
      <c r="C6">
        <v>-1</v>
      </c>
      <c r="D6">
        <v>0.06</v>
      </c>
      <c r="E6">
        <v>-11</v>
      </c>
      <c r="F6">
        <v>-14</v>
      </c>
      <c r="H6">
        <v>0.05</v>
      </c>
      <c r="I6">
        <v>0</v>
      </c>
      <c r="J6">
        <v>50</v>
      </c>
      <c r="N6">
        <v>0</v>
      </c>
      <c r="O6" s="2">
        <f t="shared" si="0"/>
        <v>14.5</v>
      </c>
      <c r="P6" s="1"/>
      <c r="Q6" s="1"/>
      <c r="R6" s="1"/>
      <c r="S6" s="1"/>
      <c r="T6" s="1"/>
      <c r="U6" s="1"/>
      <c r="V6" s="1"/>
      <c r="W6" s="1">
        <f t="shared" si="1"/>
        <v>0</v>
      </c>
    </row>
    <row r="7" spans="1:23" ht="15.75" customHeight="1" x14ac:dyDescent="0.25">
      <c r="O7" s="2">
        <f t="shared" si="0"/>
        <v>0</v>
      </c>
      <c r="P7" s="1"/>
      <c r="Q7" s="1"/>
      <c r="R7" s="1"/>
      <c r="S7" s="1"/>
      <c r="T7" s="1"/>
      <c r="U7" s="1"/>
      <c r="V7" s="1"/>
      <c r="W7" s="1">
        <f t="shared" si="1"/>
        <v>0</v>
      </c>
    </row>
    <row r="8" spans="1:23" ht="15.75" customHeight="1" x14ac:dyDescent="0.25">
      <c r="A8" t="s">
        <v>28</v>
      </c>
      <c r="B8" t="s">
        <v>29</v>
      </c>
      <c r="C8">
        <v>25</v>
      </c>
      <c r="D8">
        <v>0</v>
      </c>
      <c r="E8">
        <v>70</v>
      </c>
      <c r="F8">
        <v>100</v>
      </c>
      <c r="G8">
        <v>0</v>
      </c>
      <c r="H8">
        <v>0.55000000000000004</v>
      </c>
      <c r="I8">
        <v>1</v>
      </c>
      <c r="J8">
        <v>1900</v>
      </c>
      <c r="M8">
        <v>1</v>
      </c>
      <c r="N8">
        <v>30000</v>
      </c>
      <c r="O8" s="2">
        <f t="shared" si="0"/>
        <v>-54.75</v>
      </c>
      <c r="P8" s="1"/>
      <c r="Q8" s="1"/>
      <c r="R8" s="1"/>
      <c r="S8" s="1"/>
      <c r="T8" s="1"/>
      <c r="U8" s="1"/>
      <c r="V8" s="1"/>
      <c r="W8" s="1">
        <f t="shared" si="1"/>
        <v>0</v>
      </c>
    </row>
    <row r="9" spans="1:23" ht="15.75" customHeight="1" x14ac:dyDescent="0.25">
      <c r="A9" t="s">
        <v>30</v>
      </c>
      <c r="B9" t="s">
        <v>31</v>
      </c>
      <c r="C9">
        <v>0</v>
      </c>
      <c r="D9">
        <v>0.81</v>
      </c>
      <c r="E9">
        <v>0</v>
      </c>
      <c r="F9">
        <v>0</v>
      </c>
      <c r="H9">
        <v>0</v>
      </c>
      <c r="I9">
        <v>0</v>
      </c>
      <c r="J9">
        <v>70</v>
      </c>
      <c r="N9">
        <v>0</v>
      </c>
      <c r="O9" s="2">
        <f t="shared" si="0"/>
        <v>-15.850000000000003</v>
      </c>
      <c r="P9" s="1"/>
      <c r="Q9" s="1"/>
      <c r="R9" s="1"/>
      <c r="S9" s="1"/>
      <c r="T9" s="1">
        <v>0.1</v>
      </c>
      <c r="U9" s="1">
        <v>15.984299999999999</v>
      </c>
      <c r="V9" s="1"/>
      <c r="W9" s="1">
        <f t="shared" si="1"/>
        <v>0.7074033999999999</v>
      </c>
    </row>
    <row r="10" spans="1:23" ht="15.75" customHeight="1" x14ac:dyDescent="0.25">
      <c r="A10" t="s">
        <v>32</v>
      </c>
      <c r="B10" t="s">
        <v>33</v>
      </c>
      <c r="C10">
        <v>-3</v>
      </c>
      <c r="D10">
        <v>0.88</v>
      </c>
      <c r="E10">
        <v>-1</v>
      </c>
      <c r="F10">
        <v>-1</v>
      </c>
      <c r="H10">
        <v>-0.1</v>
      </c>
      <c r="I10">
        <v>0.03</v>
      </c>
      <c r="J10">
        <v>143</v>
      </c>
      <c r="N10">
        <v>800</v>
      </c>
      <c r="O10" s="2">
        <f t="shared" si="0"/>
        <v>-15.785</v>
      </c>
      <c r="P10" s="1"/>
      <c r="Q10" s="1"/>
      <c r="R10" s="1"/>
      <c r="S10" s="1"/>
      <c r="T10" s="1">
        <v>0.1</v>
      </c>
      <c r="U10" s="1">
        <v>17.992100000000001</v>
      </c>
      <c r="V10" s="1"/>
      <c r="W10" s="1">
        <f t="shared" si="1"/>
        <v>0.78369979999999995</v>
      </c>
    </row>
    <row r="11" spans="1:23" ht="15.75" customHeight="1" x14ac:dyDescent="0.25">
      <c r="A11" t="s">
        <v>34</v>
      </c>
      <c r="B11" t="s">
        <v>35</v>
      </c>
      <c r="C11">
        <v>-6</v>
      </c>
      <c r="D11">
        <v>1.1000000000000001</v>
      </c>
      <c r="E11">
        <v>-2</v>
      </c>
      <c r="F11">
        <v>-2</v>
      </c>
      <c r="H11">
        <v>-0.25</v>
      </c>
      <c r="I11">
        <v>0.11</v>
      </c>
      <c r="J11">
        <v>410</v>
      </c>
      <c r="N11">
        <v>4800</v>
      </c>
      <c r="O11" s="2">
        <f t="shared" si="0"/>
        <v>-14.999999999999996</v>
      </c>
      <c r="P11" s="1"/>
      <c r="Q11" s="1"/>
      <c r="R11" s="1"/>
      <c r="S11" s="1"/>
      <c r="T11" s="1">
        <v>0.1</v>
      </c>
      <c r="U11" s="1">
        <v>23.622</v>
      </c>
      <c r="V11" s="1"/>
      <c r="W11" s="1">
        <f t="shared" si="1"/>
        <v>0.99763599999999997</v>
      </c>
    </row>
    <row r="12" spans="1:23" ht="15.75" customHeight="1" x14ac:dyDescent="0.25">
      <c r="A12" t="s">
        <v>36</v>
      </c>
      <c r="B12" t="s">
        <v>37</v>
      </c>
      <c r="C12">
        <v>-5</v>
      </c>
      <c r="D12">
        <v>1.17</v>
      </c>
      <c r="E12">
        <v>-1</v>
      </c>
      <c r="F12">
        <v>-1</v>
      </c>
      <c r="H12">
        <v>-0.35</v>
      </c>
      <c r="I12">
        <v>0.14000000000000001</v>
      </c>
      <c r="J12">
        <v>509</v>
      </c>
      <c r="N12">
        <v>4500</v>
      </c>
      <c r="O12" s="2">
        <f t="shared" si="0"/>
        <v>-13.604999999999995</v>
      </c>
      <c r="P12" s="1"/>
      <c r="Q12" s="1"/>
      <c r="R12" s="1"/>
      <c r="S12" s="1"/>
      <c r="T12" s="1">
        <v>0.1</v>
      </c>
      <c r="U12" s="1">
        <v>25.590599999999998</v>
      </c>
      <c r="V12" s="1"/>
      <c r="W12" s="1">
        <f t="shared" si="1"/>
        <v>1.0724427999999999</v>
      </c>
    </row>
    <row r="13" spans="1:23" ht="15.75" customHeight="1" x14ac:dyDescent="0.25">
      <c r="A13" t="s">
        <v>38</v>
      </c>
      <c r="B13" t="s">
        <v>39</v>
      </c>
      <c r="C13">
        <v>5</v>
      </c>
      <c r="D13">
        <v>0.51</v>
      </c>
      <c r="E13">
        <v>9</v>
      </c>
      <c r="F13">
        <v>9</v>
      </c>
      <c r="H13">
        <v>0.45</v>
      </c>
      <c r="I13">
        <v>-0.09</v>
      </c>
      <c r="J13">
        <v>-331</v>
      </c>
      <c r="N13">
        <v>3500</v>
      </c>
      <c r="O13" s="2">
        <f t="shared" si="0"/>
        <v>-29.805</v>
      </c>
      <c r="P13" s="1"/>
      <c r="Q13" s="1"/>
      <c r="R13" s="1"/>
      <c r="S13" s="1"/>
      <c r="T13" s="1">
        <v>0.1</v>
      </c>
      <c r="U13" s="1">
        <v>8.3070900000000005</v>
      </c>
      <c r="V13" s="1"/>
      <c r="W13" s="1">
        <f t="shared" si="1"/>
        <v>0.41566942000000007</v>
      </c>
    </row>
    <row r="14" spans="1:23" ht="15.75" customHeight="1" x14ac:dyDescent="0.25">
      <c r="A14" t="s">
        <v>40</v>
      </c>
      <c r="B14" t="s">
        <v>41</v>
      </c>
      <c r="C14">
        <v>20</v>
      </c>
      <c r="D14">
        <v>0.42</v>
      </c>
      <c r="E14">
        <v>10</v>
      </c>
      <c r="F14">
        <v>10</v>
      </c>
      <c r="H14">
        <v>0.55000000000000004</v>
      </c>
      <c r="I14">
        <v>-0.15</v>
      </c>
      <c r="J14">
        <v>-561</v>
      </c>
      <c r="N14">
        <v>1500</v>
      </c>
      <c r="O14" s="2">
        <f t="shared" si="0"/>
        <v>-19.454999999999998</v>
      </c>
      <c r="P14" s="1"/>
      <c r="Q14" s="1"/>
      <c r="R14" s="1"/>
      <c r="S14" s="1"/>
      <c r="T14" s="1">
        <v>0.1</v>
      </c>
      <c r="U14" s="1">
        <v>5.7086600000000001</v>
      </c>
      <c r="V14" s="1"/>
      <c r="W14" s="1">
        <f t="shared" si="1"/>
        <v>0.31692907999999997</v>
      </c>
    </row>
    <row r="15" spans="1:23" ht="15.75" customHeight="1" x14ac:dyDescent="0.25">
      <c r="A15" t="s">
        <v>42</v>
      </c>
      <c r="B15" t="s">
        <v>43</v>
      </c>
      <c r="C15">
        <v>14</v>
      </c>
      <c r="D15">
        <v>0.39</v>
      </c>
      <c r="E15">
        <v>13</v>
      </c>
      <c r="F15">
        <v>13</v>
      </c>
      <c r="H15">
        <v>0.6</v>
      </c>
      <c r="I15">
        <v>-0.17</v>
      </c>
      <c r="J15">
        <v>-652</v>
      </c>
      <c r="N15">
        <v>2500</v>
      </c>
      <c r="O15" s="2">
        <f t="shared" si="0"/>
        <v>-31.060000000000002</v>
      </c>
      <c r="P15" s="1"/>
      <c r="Q15" s="1"/>
      <c r="R15" s="1"/>
      <c r="S15" s="1"/>
      <c r="T15" s="1">
        <v>0.1</v>
      </c>
      <c r="U15" s="1">
        <v>4.9212600000000002</v>
      </c>
      <c r="V15" s="1"/>
      <c r="W15" s="1">
        <f t="shared" si="1"/>
        <v>0.28700787999999999</v>
      </c>
    </row>
    <row r="16" spans="1:23" ht="15.75" customHeight="1" x14ac:dyDescent="0.25">
      <c r="A16" t="s">
        <v>44</v>
      </c>
      <c r="B16" t="s">
        <v>45</v>
      </c>
      <c r="C16">
        <v>-6</v>
      </c>
      <c r="D16">
        <v>0.26</v>
      </c>
      <c r="E16">
        <v>-8</v>
      </c>
      <c r="F16">
        <v>-8</v>
      </c>
      <c r="H16">
        <v>-0.15</v>
      </c>
      <c r="I16">
        <v>0.13</v>
      </c>
      <c r="J16">
        <v>90</v>
      </c>
      <c r="O16" s="2">
        <f t="shared" si="0"/>
        <v>7.9000000000000012</v>
      </c>
      <c r="P16" s="1"/>
      <c r="Q16" s="1"/>
      <c r="R16" s="1"/>
      <c r="S16" s="1"/>
      <c r="T16" s="1"/>
      <c r="U16" s="1"/>
      <c r="V16" s="1"/>
      <c r="W16" s="1">
        <f t="shared" si="1"/>
        <v>0</v>
      </c>
    </row>
    <row r="17" spans="1:23" ht="15.75" customHeight="1" x14ac:dyDescent="0.25">
      <c r="A17" t="s">
        <v>46</v>
      </c>
      <c r="B17" t="s">
        <v>47</v>
      </c>
      <c r="C17">
        <v>-1</v>
      </c>
      <c r="D17">
        <v>0.03</v>
      </c>
      <c r="E17">
        <v>0</v>
      </c>
      <c r="F17">
        <v>0</v>
      </c>
      <c r="H17">
        <v>0.05</v>
      </c>
      <c r="I17">
        <v>0</v>
      </c>
      <c r="J17">
        <v>0</v>
      </c>
      <c r="N17">
        <v>1000</v>
      </c>
      <c r="O17" s="2">
        <f t="shared" si="0"/>
        <v>-2.35</v>
      </c>
      <c r="P17" s="1"/>
      <c r="Q17" s="1"/>
      <c r="R17" s="1"/>
      <c r="S17" s="1"/>
      <c r="T17" s="1"/>
      <c r="U17" s="1"/>
      <c r="V17" s="1"/>
      <c r="W17" s="1">
        <f t="shared" si="1"/>
        <v>0</v>
      </c>
    </row>
    <row r="18" spans="1:23" ht="15.75" customHeight="1" x14ac:dyDescent="0.25">
      <c r="A18" t="s">
        <v>48</v>
      </c>
      <c r="B18" t="s">
        <v>49</v>
      </c>
      <c r="C18">
        <v>1</v>
      </c>
      <c r="D18">
        <v>0.05</v>
      </c>
      <c r="E18">
        <v>-11</v>
      </c>
      <c r="F18">
        <v>-10</v>
      </c>
      <c r="H18">
        <v>0</v>
      </c>
      <c r="I18">
        <v>0</v>
      </c>
      <c r="J18">
        <v>50</v>
      </c>
      <c r="N18">
        <v>0</v>
      </c>
      <c r="O18" s="2">
        <f t="shared" si="0"/>
        <v>15.05</v>
      </c>
      <c r="P18" s="1"/>
      <c r="Q18" s="1"/>
      <c r="R18" s="1"/>
      <c r="S18" s="1"/>
      <c r="T18" s="1"/>
      <c r="U18" s="1"/>
      <c r="V18" s="1"/>
      <c r="W18" s="1">
        <f t="shared" si="1"/>
        <v>0</v>
      </c>
    </row>
    <row r="19" spans="1:23" ht="15.75" customHeight="1" x14ac:dyDescent="0.25">
      <c r="O19" s="2">
        <f t="shared" si="0"/>
        <v>0</v>
      </c>
      <c r="P19" s="1"/>
      <c r="Q19" s="1"/>
      <c r="R19" s="1"/>
      <c r="S19" s="1"/>
      <c r="T19" s="1"/>
      <c r="U19" s="1"/>
      <c r="V19" s="1"/>
      <c r="W19" s="1">
        <f t="shared" si="1"/>
        <v>0</v>
      </c>
    </row>
    <row r="20" spans="1:23" ht="15.75" customHeight="1" x14ac:dyDescent="0.25">
      <c r="A20" t="s">
        <v>50</v>
      </c>
      <c r="B20" t="s">
        <v>51</v>
      </c>
      <c r="C20">
        <v>15</v>
      </c>
      <c r="D20">
        <v>0</v>
      </c>
      <c r="E20">
        <v>85</v>
      </c>
      <c r="F20">
        <v>105</v>
      </c>
      <c r="G20">
        <v>0</v>
      </c>
      <c r="H20">
        <v>0.75</v>
      </c>
      <c r="I20">
        <v>1</v>
      </c>
      <c r="J20">
        <v>1900</v>
      </c>
      <c r="M20">
        <v>1</v>
      </c>
      <c r="N20">
        <v>20000</v>
      </c>
      <c r="O20" s="2">
        <f t="shared" si="0"/>
        <v>-82.75</v>
      </c>
      <c r="P20" s="1"/>
      <c r="Q20" s="1"/>
      <c r="R20" s="1"/>
      <c r="S20" s="1"/>
      <c r="T20" s="1"/>
      <c r="U20" s="1"/>
      <c r="V20" s="1"/>
      <c r="W20" s="1">
        <f t="shared" si="1"/>
        <v>0</v>
      </c>
    </row>
    <row r="21" spans="1:23" ht="15.75" customHeight="1" x14ac:dyDescent="0.25">
      <c r="A21" t="s">
        <v>52</v>
      </c>
      <c r="B21" t="s">
        <v>53</v>
      </c>
      <c r="C21">
        <v>13</v>
      </c>
      <c r="D21">
        <v>0.49</v>
      </c>
      <c r="E21">
        <v>9</v>
      </c>
      <c r="F21">
        <v>9</v>
      </c>
      <c r="H21">
        <v>0.35</v>
      </c>
      <c r="I21">
        <v>-0.09</v>
      </c>
      <c r="J21">
        <v>-158</v>
      </c>
      <c r="N21">
        <v>1000</v>
      </c>
      <c r="O21" s="2">
        <f t="shared" si="0"/>
        <v>-19.04</v>
      </c>
      <c r="P21" s="1"/>
      <c r="Q21" s="1"/>
      <c r="R21" s="1"/>
      <c r="S21" s="1"/>
      <c r="T21" s="1">
        <v>0.16</v>
      </c>
      <c r="U21" s="1">
        <v>8.25</v>
      </c>
      <c r="V21" s="1"/>
      <c r="W21" s="1">
        <f t="shared" si="1"/>
        <v>0.47350000000000003</v>
      </c>
    </row>
    <row r="22" spans="1:23" ht="15.75" customHeight="1" x14ac:dyDescent="0.25">
      <c r="A22" t="s">
        <v>54</v>
      </c>
      <c r="B22" t="s">
        <v>55</v>
      </c>
      <c r="C22">
        <v>8</v>
      </c>
      <c r="D22">
        <v>0.67</v>
      </c>
      <c r="E22">
        <v>6</v>
      </c>
      <c r="F22">
        <v>6</v>
      </c>
      <c r="H22">
        <v>0.15</v>
      </c>
      <c r="I22">
        <v>-0.06</v>
      </c>
      <c r="J22">
        <v>-131</v>
      </c>
      <c r="N22">
        <v>750</v>
      </c>
      <c r="O22" s="2">
        <f t="shared" si="0"/>
        <v>-19.105</v>
      </c>
      <c r="P22" s="1"/>
      <c r="Q22" s="1"/>
      <c r="R22" s="1"/>
      <c r="S22" s="1"/>
      <c r="T22" s="1">
        <v>0.2</v>
      </c>
      <c r="U22" s="1">
        <v>12</v>
      </c>
      <c r="V22" s="1"/>
      <c r="W22" s="1">
        <f t="shared" si="1"/>
        <v>0.65599999999999992</v>
      </c>
    </row>
    <row r="23" spans="1:23" ht="15.75" customHeight="1" x14ac:dyDescent="0.25">
      <c r="A23" t="s">
        <v>56</v>
      </c>
      <c r="B23" t="s">
        <v>57</v>
      </c>
      <c r="C23">
        <v>5</v>
      </c>
      <c r="D23">
        <v>0.72</v>
      </c>
      <c r="E23">
        <v>4</v>
      </c>
      <c r="F23">
        <v>4</v>
      </c>
      <c r="H23">
        <v>0.1</v>
      </c>
      <c r="I23">
        <v>-0.04</v>
      </c>
      <c r="J23">
        <v>-81</v>
      </c>
      <c r="N23">
        <v>500</v>
      </c>
      <c r="O23" s="2">
        <f t="shared" si="0"/>
        <v>-18.505000000000003</v>
      </c>
      <c r="P23" s="1"/>
      <c r="Q23" s="1"/>
      <c r="R23" s="1"/>
      <c r="S23" s="1"/>
      <c r="T23" s="1">
        <v>0.2</v>
      </c>
      <c r="U23" s="1">
        <v>13</v>
      </c>
      <c r="V23" s="1"/>
      <c r="W23" s="1">
        <f t="shared" si="1"/>
        <v>0.69399999999999995</v>
      </c>
    </row>
    <row r="24" spans="1:23" ht="15.75" customHeight="1" x14ac:dyDescent="0.25">
      <c r="A24" t="s">
        <v>58</v>
      </c>
      <c r="B24" t="s">
        <v>59</v>
      </c>
      <c r="C24">
        <v>2</v>
      </c>
      <c r="D24">
        <v>0.86</v>
      </c>
      <c r="E24">
        <v>1</v>
      </c>
      <c r="F24">
        <v>2</v>
      </c>
      <c r="H24">
        <v>0</v>
      </c>
      <c r="I24">
        <v>0</v>
      </c>
      <c r="J24">
        <v>46</v>
      </c>
      <c r="N24">
        <v>400</v>
      </c>
      <c r="O24" s="2">
        <f t="shared" si="0"/>
        <v>-16.97</v>
      </c>
      <c r="P24" s="1"/>
      <c r="Q24" s="1"/>
      <c r="R24" s="1"/>
      <c r="S24" s="1"/>
      <c r="T24" s="1">
        <v>0.2</v>
      </c>
      <c r="U24" s="1">
        <v>16</v>
      </c>
      <c r="V24" s="1"/>
      <c r="W24" s="1">
        <f t="shared" si="1"/>
        <v>0.80800000000000005</v>
      </c>
    </row>
    <row r="25" spans="1:23" ht="15.75" customHeight="1" x14ac:dyDescent="0.25">
      <c r="A25" t="s">
        <v>60</v>
      </c>
      <c r="B25" t="s">
        <v>61</v>
      </c>
      <c r="C25">
        <v>0</v>
      </c>
      <c r="D25">
        <v>0.93</v>
      </c>
      <c r="E25">
        <v>0</v>
      </c>
      <c r="F25">
        <v>0</v>
      </c>
      <c r="H25">
        <v>0</v>
      </c>
      <c r="I25">
        <v>0</v>
      </c>
      <c r="J25">
        <v>71</v>
      </c>
      <c r="N25">
        <v>0</v>
      </c>
      <c r="O25" s="2">
        <f t="shared" si="0"/>
        <v>-18.245000000000001</v>
      </c>
      <c r="P25" s="1"/>
      <c r="Q25" s="1"/>
      <c r="R25" s="1"/>
      <c r="S25" s="1"/>
      <c r="T25" s="1">
        <v>0.25</v>
      </c>
      <c r="U25" s="1">
        <v>16</v>
      </c>
      <c r="V25" s="1"/>
      <c r="W25" s="1">
        <f t="shared" si="1"/>
        <v>0.85799999999999998</v>
      </c>
    </row>
    <row r="26" spans="1:23" ht="15.75" customHeight="1" x14ac:dyDescent="0.25">
      <c r="A26" t="s">
        <v>62</v>
      </c>
      <c r="B26" t="s">
        <v>63</v>
      </c>
      <c r="C26">
        <v>-5</v>
      </c>
      <c r="D26">
        <v>1.03</v>
      </c>
      <c r="E26">
        <v>-4</v>
      </c>
      <c r="F26">
        <v>-5</v>
      </c>
      <c r="H26">
        <v>-0.1</v>
      </c>
      <c r="I26">
        <v>0.03</v>
      </c>
      <c r="J26">
        <v>143</v>
      </c>
      <c r="N26">
        <v>750</v>
      </c>
      <c r="O26" s="2">
        <f t="shared" si="0"/>
        <v>-15.985000000000003</v>
      </c>
      <c r="P26" s="1"/>
      <c r="Q26" s="1"/>
      <c r="R26" s="1"/>
      <c r="S26" s="1"/>
      <c r="T26" s="1">
        <v>0.25</v>
      </c>
      <c r="U26" s="1">
        <v>18</v>
      </c>
      <c r="V26" s="1"/>
      <c r="W26" s="1">
        <f t="shared" si="1"/>
        <v>0.93399999999999994</v>
      </c>
    </row>
    <row r="27" spans="1:23" ht="15.75" customHeight="1" x14ac:dyDescent="0.25">
      <c r="A27" t="s">
        <v>64</v>
      </c>
      <c r="B27" t="s">
        <v>65</v>
      </c>
      <c r="C27">
        <v>-10</v>
      </c>
      <c r="D27">
        <v>1.1299999999999999</v>
      </c>
      <c r="E27">
        <v>-7</v>
      </c>
      <c r="F27">
        <v>-8</v>
      </c>
      <c r="H27">
        <v>-0.25</v>
      </c>
      <c r="I27">
        <v>0.08</v>
      </c>
      <c r="J27">
        <v>238</v>
      </c>
      <c r="N27">
        <v>1000</v>
      </c>
      <c r="O27" s="2">
        <f t="shared" si="0"/>
        <v>-14.059999999999993</v>
      </c>
      <c r="P27" s="1"/>
      <c r="Q27" s="1"/>
      <c r="R27" s="1"/>
      <c r="S27" s="1"/>
      <c r="T27" s="1">
        <v>0.25</v>
      </c>
      <c r="U27" s="1">
        <v>21</v>
      </c>
      <c r="V27" s="1"/>
      <c r="W27" s="1">
        <f t="shared" si="1"/>
        <v>1.048</v>
      </c>
    </row>
    <row r="28" spans="1:23" ht="15.75" customHeight="1" x14ac:dyDescent="0.25">
      <c r="O28" s="2">
        <f t="shared" si="0"/>
        <v>0</v>
      </c>
      <c r="P28" s="1"/>
      <c r="Q28" s="1"/>
      <c r="R28" s="1"/>
      <c r="S28" s="1"/>
      <c r="T28" s="1"/>
      <c r="U28" s="1"/>
      <c r="V28" s="1"/>
      <c r="W28" s="1">
        <f t="shared" si="1"/>
        <v>0</v>
      </c>
    </row>
    <row r="29" spans="1:23" ht="15.75" customHeight="1" x14ac:dyDescent="0.25">
      <c r="A29" t="s">
        <v>66</v>
      </c>
      <c r="B29" t="s">
        <v>67</v>
      </c>
      <c r="C29">
        <v>5</v>
      </c>
      <c r="D29">
        <v>0</v>
      </c>
      <c r="E29">
        <v>75</v>
      </c>
      <c r="F29">
        <v>80</v>
      </c>
      <c r="G29">
        <v>0</v>
      </c>
      <c r="H29">
        <v>0.6</v>
      </c>
      <c r="I29">
        <v>1</v>
      </c>
      <c r="J29">
        <v>1900</v>
      </c>
      <c r="M29">
        <v>1</v>
      </c>
      <c r="N29">
        <v>75000</v>
      </c>
      <c r="O29" s="2">
        <f t="shared" si="0"/>
        <v>-67.5</v>
      </c>
      <c r="P29" s="1"/>
      <c r="Q29" s="1"/>
      <c r="R29" s="1"/>
      <c r="S29" s="1"/>
      <c r="T29" s="1"/>
      <c r="U29" s="1"/>
      <c r="V29" s="1"/>
      <c r="W29" s="1">
        <f t="shared" si="1"/>
        <v>0</v>
      </c>
    </row>
    <row r="30" spans="1:23" ht="15.75" customHeight="1" x14ac:dyDescent="0.25">
      <c r="A30" t="s">
        <v>68</v>
      </c>
      <c r="B30" t="s">
        <v>69</v>
      </c>
      <c r="C30">
        <v>12</v>
      </c>
      <c r="D30">
        <v>0.6</v>
      </c>
      <c r="E30">
        <v>7</v>
      </c>
      <c r="F30">
        <v>7</v>
      </c>
      <c r="H30">
        <v>0.25</v>
      </c>
      <c r="I30">
        <v>-7.0000000000000007E-2</v>
      </c>
      <c r="J30">
        <v>-187</v>
      </c>
      <c r="L30">
        <v>0.05</v>
      </c>
      <c r="N30">
        <v>1500</v>
      </c>
      <c r="O30" s="2">
        <f t="shared" si="0"/>
        <v>-17.285</v>
      </c>
      <c r="P30" s="1"/>
      <c r="Q30" s="1"/>
      <c r="R30" s="1"/>
      <c r="S30" s="1"/>
      <c r="T30" s="1">
        <v>0.1</v>
      </c>
      <c r="U30" s="1">
        <v>10.511799999999999</v>
      </c>
      <c r="V30" s="1"/>
      <c r="W30" s="1">
        <f t="shared" si="1"/>
        <v>0.49944840000000001</v>
      </c>
    </row>
    <row r="31" spans="1:23" ht="15.75" customHeight="1" x14ac:dyDescent="0.25">
      <c r="A31" t="s">
        <v>70</v>
      </c>
      <c r="B31" t="s">
        <v>71</v>
      </c>
      <c r="C31">
        <v>6</v>
      </c>
      <c r="D31">
        <v>0.69</v>
      </c>
      <c r="E31">
        <v>3</v>
      </c>
      <c r="F31">
        <v>4</v>
      </c>
      <c r="H31">
        <v>0.1</v>
      </c>
      <c r="I31">
        <v>-0.04</v>
      </c>
      <c r="J31">
        <v>-57</v>
      </c>
      <c r="N31">
        <v>1200</v>
      </c>
      <c r="O31" s="2">
        <f t="shared" si="0"/>
        <v>-15.984999999999999</v>
      </c>
      <c r="P31" s="1"/>
      <c r="Q31" s="1"/>
      <c r="R31" s="1"/>
      <c r="S31" s="1"/>
      <c r="T31" s="1">
        <v>0.1</v>
      </c>
      <c r="U31" s="1">
        <v>12.992100000000001</v>
      </c>
      <c r="V31" s="1"/>
      <c r="W31" s="1">
        <f t="shared" si="1"/>
        <v>0.5936998</v>
      </c>
    </row>
    <row r="32" spans="1:23" ht="15.75" customHeight="1" x14ac:dyDescent="0.25">
      <c r="A32" t="s">
        <v>72</v>
      </c>
      <c r="B32" t="s">
        <v>73</v>
      </c>
      <c r="C32">
        <v>0</v>
      </c>
      <c r="D32">
        <v>0.81</v>
      </c>
      <c r="E32">
        <v>0</v>
      </c>
      <c r="F32">
        <v>0</v>
      </c>
      <c r="H32">
        <v>0</v>
      </c>
      <c r="I32">
        <v>0</v>
      </c>
      <c r="J32">
        <v>70</v>
      </c>
      <c r="N32">
        <v>0</v>
      </c>
      <c r="O32" s="2">
        <f t="shared" si="0"/>
        <v>-15.850000000000003</v>
      </c>
      <c r="P32" s="1"/>
      <c r="Q32" s="1"/>
      <c r="R32" s="1"/>
      <c r="S32" s="1"/>
      <c r="T32" s="1">
        <v>0.1</v>
      </c>
      <c r="U32" s="1">
        <v>15.984299999999999</v>
      </c>
      <c r="V32" s="1"/>
      <c r="W32" s="1">
        <f t="shared" si="1"/>
        <v>0.7074033999999999</v>
      </c>
    </row>
    <row r="33" spans="1:23" ht="15.75" customHeight="1" x14ac:dyDescent="0.25">
      <c r="A33" t="s">
        <v>74</v>
      </c>
      <c r="B33" t="s">
        <v>75</v>
      </c>
      <c r="C33">
        <v>-1</v>
      </c>
      <c r="D33">
        <v>0.79</v>
      </c>
      <c r="E33">
        <v>-1</v>
      </c>
      <c r="F33">
        <v>1</v>
      </c>
      <c r="H33">
        <v>-0.05</v>
      </c>
      <c r="I33">
        <v>0.01</v>
      </c>
      <c r="J33">
        <v>171</v>
      </c>
      <c r="N33">
        <v>1500</v>
      </c>
      <c r="O33" s="2">
        <f t="shared" si="0"/>
        <v>-14.595000000000001</v>
      </c>
      <c r="P33" s="1"/>
      <c r="Q33" s="1"/>
      <c r="R33" s="1"/>
      <c r="S33" s="1"/>
      <c r="T33" s="1">
        <v>0.1</v>
      </c>
      <c r="U33" s="1">
        <v>16</v>
      </c>
      <c r="V33" s="1"/>
      <c r="W33" s="1">
        <f t="shared" si="1"/>
        <v>0.70799999999999996</v>
      </c>
    </row>
    <row r="34" spans="1:23" ht="15.75" customHeight="1" x14ac:dyDescent="0.25">
      <c r="A34" t="s">
        <v>76</v>
      </c>
      <c r="B34" t="s">
        <v>77</v>
      </c>
      <c r="C34">
        <v>-5</v>
      </c>
      <c r="D34">
        <v>0.96</v>
      </c>
      <c r="E34">
        <v>-3</v>
      </c>
      <c r="F34">
        <v>-3</v>
      </c>
      <c r="H34">
        <v>-0.1</v>
      </c>
      <c r="I34">
        <v>0.06</v>
      </c>
      <c r="J34">
        <v>208</v>
      </c>
      <c r="N34">
        <v>1500</v>
      </c>
      <c r="O34" s="2">
        <f t="shared" si="0"/>
        <v>-15.059999999999999</v>
      </c>
      <c r="P34" s="1"/>
      <c r="Q34" s="1"/>
      <c r="R34" s="1"/>
      <c r="S34" s="1"/>
      <c r="T34" s="1">
        <v>0.1</v>
      </c>
      <c r="U34" s="1">
        <v>20</v>
      </c>
      <c r="V34" s="1"/>
      <c r="W34" s="1">
        <f t="shared" si="1"/>
        <v>0.86</v>
      </c>
    </row>
    <row r="35" spans="1:23" ht="15.75" customHeight="1" x14ac:dyDescent="0.25">
      <c r="A35" t="s">
        <v>78</v>
      </c>
      <c r="B35" t="s">
        <v>79</v>
      </c>
      <c r="C35">
        <v>-7</v>
      </c>
      <c r="D35">
        <v>0.94</v>
      </c>
      <c r="E35">
        <v>-4</v>
      </c>
      <c r="F35">
        <v>-2</v>
      </c>
      <c r="H35">
        <v>-0.15</v>
      </c>
      <c r="I35">
        <v>7.0000000000000007E-2</v>
      </c>
      <c r="J35">
        <v>358</v>
      </c>
      <c r="N35">
        <v>2000</v>
      </c>
      <c r="O35" s="2">
        <f t="shared" si="0"/>
        <v>-14.559999999999999</v>
      </c>
      <c r="P35" s="1"/>
      <c r="Q35" s="1"/>
      <c r="R35" s="1"/>
      <c r="S35" s="1"/>
      <c r="T35" s="1">
        <v>0.1</v>
      </c>
      <c r="U35" s="1">
        <v>20</v>
      </c>
      <c r="V35" s="1"/>
      <c r="W35" s="1">
        <f t="shared" si="1"/>
        <v>0.86</v>
      </c>
    </row>
    <row r="36" spans="1:23" ht="15.75" customHeight="1" x14ac:dyDescent="0.25">
      <c r="A36" t="s">
        <v>80</v>
      </c>
      <c r="B36" t="s">
        <v>81</v>
      </c>
      <c r="C36">
        <v>-4</v>
      </c>
      <c r="D36">
        <v>1.01</v>
      </c>
      <c r="E36">
        <v>2</v>
      </c>
      <c r="F36">
        <v>2</v>
      </c>
      <c r="H36">
        <v>-0.3</v>
      </c>
      <c r="I36">
        <v>0.09</v>
      </c>
      <c r="J36">
        <v>308</v>
      </c>
      <c r="N36">
        <v>1500</v>
      </c>
      <c r="O36" s="2">
        <f t="shared" si="0"/>
        <v>-17.36</v>
      </c>
      <c r="P36" s="1"/>
      <c r="Q36" s="1"/>
      <c r="R36" s="1"/>
      <c r="S36" s="1"/>
      <c r="T36" s="1">
        <v>0.1</v>
      </c>
      <c r="U36" s="1">
        <v>20</v>
      </c>
      <c r="V36" s="1"/>
      <c r="W36" s="1">
        <f t="shared" si="1"/>
        <v>0.86</v>
      </c>
    </row>
    <row r="37" spans="1:23" ht="15.75" customHeight="1" x14ac:dyDescent="0.25">
      <c r="O37" s="2">
        <f t="shared" si="0"/>
        <v>0</v>
      </c>
      <c r="P37" s="1"/>
      <c r="Q37" s="1"/>
      <c r="R37" s="1"/>
      <c r="S37" s="1"/>
      <c r="T37" s="1"/>
      <c r="U37" s="1"/>
      <c r="V37" s="1"/>
      <c r="W37" s="1"/>
    </row>
    <row r="38" spans="1:23" ht="15.75" customHeight="1" x14ac:dyDescent="0.25">
      <c r="A38" t="s">
        <v>82</v>
      </c>
      <c r="B38" t="s">
        <v>83</v>
      </c>
      <c r="C38">
        <v>1</v>
      </c>
      <c r="D38">
        <v>0.06</v>
      </c>
      <c r="E38">
        <v>-10</v>
      </c>
      <c r="F38">
        <v>-12</v>
      </c>
      <c r="H38">
        <v>0</v>
      </c>
      <c r="I38">
        <v>0</v>
      </c>
      <c r="J38">
        <v>0</v>
      </c>
      <c r="M38">
        <v>0</v>
      </c>
      <c r="N38">
        <v>0</v>
      </c>
      <c r="O38" s="2">
        <f t="shared" si="0"/>
        <v>15</v>
      </c>
      <c r="P38" s="1"/>
      <c r="Q38" s="1"/>
      <c r="R38" s="1"/>
      <c r="S38" s="1"/>
      <c r="T38" s="1"/>
      <c r="U38" s="1"/>
      <c r="V38" s="1"/>
      <c r="W38" s="1">
        <f>T38+U38*0.038+V38</f>
        <v>0</v>
      </c>
    </row>
    <row r="39" spans="1:23" ht="15.75" customHeight="1" x14ac:dyDescent="0.25">
      <c r="A39" t="s">
        <v>84</v>
      </c>
      <c r="B39" t="s">
        <v>85</v>
      </c>
      <c r="C39">
        <v>2</v>
      </c>
      <c r="D39">
        <v>0.05</v>
      </c>
      <c r="E39">
        <v>-9</v>
      </c>
      <c r="F39">
        <v>-11</v>
      </c>
      <c r="H39">
        <v>0</v>
      </c>
      <c r="I39">
        <v>0</v>
      </c>
      <c r="J39">
        <v>0</v>
      </c>
      <c r="M39">
        <v>0.01</v>
      </c>
      <c r="N39">
        <v>600</v>
      </c>
      <c r="O39" s="2">
        <f t="shared" si="0"/>
        <v>14.749999999999998</v>
      </c>
      <c r="P39" s="1"/>
      <c r="Q39" s="1"/>
      <c r="R39" s="1"/>
      <c r="S39" s="1"/>
      <c r="T39" s="1"/>
      <c r="U39" s="1"/>
      <c r="V39" s="1"/>
      <c r="W39" s="1"/>
    </row>
    <row r="40" spans="1:23" ht="15.75" customHeight="1" x14ac:dyDescent="0.25">
      <c r="A40" t="s">
        <v>86</v>
      </c>
      <c r="B40" t="s">
        <v>87</v>
      </c>
      <c r="C40">
        <v>1</v>
      </c>
      <c r="D40">
        <v>0.12</v>
      </c>
      <c r="E40">
        <v>-10</v>
      </c>
      <c r="F40">
        <v>-14</v>
      </c>
      <c r="H40">
        <v>0</v>
      </c>
      <c r="I40">
        <v>0</v>
      </c>
      <c r="J40">
        <v>20</v>
      </c>
      <c r="M40">
        <v>0</v>
      </c>
      <c r="N40">
        <v>500</v>
      </c>
      <c r="O40" s="2">
        <f t="shared" si="0"/>
        <v>15.1</v>
      </c>
      <c r="P40" s="1"/>
      <c r="Q40" s="1"/>
      <c r="R40" s="1"/>
      <c r="S40" s="1"/>
      <c r="T40" s="1"/>
      <c r="U40" s="1"/>
      <c r="V40" s="1"/>
      <c r="W40" s="1">
        <f>T40+U40*0.038+V40</f>
        <v>0</v>
      </c>
    </row>
    <row r="41" spans="1:23" ht="15.75" customHeight="1" x14ac:dyDescent="0.25">
      <c r="A41" t="s">
        <v>88</v>
      </c>
      <c r="B41" t="s">
        <v>89</v>
      </c>
      <c r="C41">
        <v>0</v>
      </c>
      <c r="D41">
        <v>0.08</v>
      </c>
      <c r="E41">
        <v>-13</v>
      </c>
      <c r="F41">
        <v>-11</v>
      </c>
      <c r="H41">
        <v>0</v>
      </c>
      <c r="I41">
        <v>0</v>
      </c>
      <c r="J41">
        <v>10</v>
      </c>
      <c r="M41">
        <v>0</v>
      </c>
      <c r="N41">
        <v>500</v>
      </c>
      <c r="O41" s="2">
        <f t="shared" si="0"/>
        <v>15.450000000000001</v>
      </c>
      <c r="P41" s="1"/>
      <c r="Q41" s="1"/>
      <c r="R41" s="1"/>
      <c r="S41" s="1"/>
      <c r="T41" s="1"/>
      <c r="U41" s="1"/>
      <c r="V41" s="1"/>
      <c r="W41" s="1">
        <f>T41+U41*0.038+V41</f>
        <v>0</v>
      </c>
    </row>
    <row r="42" spans="1:23" ht="15.75" customHeight="1" x14ac:dyDescent="0.25">
      <c r="A42" t="s">
        <v>90</v>
      </c>
      <c r="B42" t="s">
        <v>91</v>
      </c>
      <c r="C42">
        <v>1</v>
      </c>
      <c r="D42">
        <v>0.09</v>
      </c>
      <c r="E42">
        <v>-11</v>
      </c>
      <c r="F42">
        <v>-12</v>
      </c>
      <c r="H42">
        <v>0</v>
      </c>
      <c r="I42">
        <v>0</v>
      </c>
      <c r="J42">
        <v>10</v>
      </c>
      <c r="M42">
        <v>0</v>
      </c>
      <c r="N42">
        <v>0</v>
      </c>
      <c r="O42" s="2">
        <f t="shared" si="0"/>
        <v>15.25</v>
      </c>
      <c r="P42" s="1"/>
      <c r="Q42" s="1"/>
      <c r="R42" s="1"/>
      <c r="S42" s="1"/>
      <c r="T42" s="1"/>
      <c r="U42" s="1"/>
      <c r="V42" s="1"/>
      <c r="W42" s="1"/>
    </row>
    <row r="43" spans="1:23" ht="15.75" customHeight="1" x14ac:dyDescent="0.25">
      <c r="A43" t="s">
        <v>92</v>
      </c>
      <c r="B43" t="s">
        <v>93</v>
      </c>
      <c r="C43">
        <v>1</v>
      </c>
      <c r="D43">
        <v>0.1</v>
      </c>
      <c r="E43">
        <v>-14</v>
      </c>
      <c r="F43">
        <v>-10</v>
      </c>
      <c r="H43">
        <v>0</v>
      </c>
      <c r="I43">
        <v>0</v>
      </c>
      <c r="J43">
        <v>10</v>
      </c>
      <c r="M43">
        <v>0</v>
      </c>
      <c r="N43">
        <v>750</v>
      </c>
      <c r="O43" s="2">
        <f t="shared" si="0"/>
        <v>16.250000000000004</v>
      </c>
      <c r="P43" s="1"/>
      <c r="Q43" s="1">
        <v>4.25</v>
      </c>
      <c r="R43" s="1">
        <f>Q43*0.024</f>
        <v>0.10200000000000001</v>
      </c>
      <c r="S43" s="1"/>
      <c r="T43" s="1"/>
      <c r="U43" s="1"/>
      <c r="V43" s="1"/>
      <c r="W43" s="1"/>
    </row>
    <row r="44" spans="1:23" ht="15.75" customHeight="1" x14ac:dyDescent="0.25">
      <c r="A44" t="s">
        <v>94</v>
      </c>
      <c r="B44" t="s">
        <v>95</v>
      </c>
      <c r="C44">
        <v>-1</v>
      </c>
      <c r="D44">
        <v>0.09</v>
      </c>
      <c r="E44">
        <v>-15</v>
      </c>
      <c r="F44">
        <v>-12</v>
      </c>
      <c r="H44">
        <v>0</v>
      </c>
      <c r="I44">
        <v>0</v>
      </c>
      <c r="J44">
        <v>0</v>
      </c>
      <c r="M44">
        <v>0.05</v>
      </c>
      <c r="N44">
        <v>1000</v>
      </c>
      <c r="O44" s="2">
        <f t="shared" si="0"/>
        <v>16.149999999999999</v>
      </c>
      <c r="P44" s="1"/>
      <c r="Q44" s="1">
        <v>4</v>
      </c>
      <c r="R44" s="1">
        <f>Q44*0.024</f>
        <v>9.6000000000000002E-2</v>
      </c>
      <c r="S44" s="1"/>
      <c r="T44" s="1"/>
      <c r="U44" s="1"/>
      <c r="V44" s="1"/>
      <c r="W44" s="1"/>
    </row>
    <row r="45" spans="1:23" ht="15.75" customHeight="1" x14ac:dyDescent="0.25">
      <c r="A45" t="s">
        <v>96</v>
      </c>
      <c r="B45" t="s">
        <v>97</v>
      </c>
      <c r="C45">
        <v>-2</v>
      </c>
      <c r="D45">
        <v>0.09</v>
      </c>
      <c r="E45">
        <v>-16</v>
      </c>
      <c r="F45">
        <v>-13</v>
      </c>
      <c r="H45">
        <v>0</v>
      </c>
      <c r="I45">
        <v>0</v>
      </c>
      <c r="J45">
        <v>0</v>
      </c>
      <c r="M45">
        <v>7.0000000000000007E-2</v>
      </c>
      <c r="N45">
        <v>900</v>
      </c>
      <c r="O45" s="2">
        <f t="shared" si="0"/>
        <v>16.45</v>
      </c>
      <c r="P45" s="1"/>
      <c r="Q45" s="1">
        <v>3.9</v>
      </c>
      <c r="R45" s="1">
        <f>Q45*0.024</f>
        <v>9.3600000000000003E-2</v>
      </c>
      <c r="S45" s="1"/>
      <c r="T45" s="1"/>
      <c r="U45" s="1"/>
      <c r="V45" s="1"/>
      <c r="W45" s="1"/>
    </row>
    <row r="46" spans="1:23" ht="15.75" customHeight="1" x14ac:dyDescent="0.25">
      <c r="A46" t="s">
        <v>98</v>
      </c>
      <c r="B46" t="s">
        <v>99</v>
      </c>
      <c r="C46">
        <v>-1</v>
      </c>
      <c r="D46">
        <v>0.08</v>
      </c>
      <c r="E46">
        <v>-13</v>
      </c>
      <c r="F46">
        <v>-14</v>
      </c>
      <c r="H46">
        <v>0</v>
      </c>
      <c r="I46">
        <v>0</v>
      </c>
      <c r="J46">
        <v>0</v>
      </c>
      <c r="M46">
        <v>0.04</v>
      </c>
      <c r="N46">
        <v>500</v>
      </c>
      <c r="O46" s="2">
        <f t="shared" si="0"/>
        <v>16.000000000000004</v>
      </c>
      <c r="P46" s="1"/>
      <c r="Q46" s="1">
        <v>3.6</v>
      </c>
      <c r="R46" s="1">
        <f>Q46*0.024</f>
        <v>8.6400000000000005E-2</v>
      </c>
      <c r="S46" s="1"/>
      <c r="T46" s="1"/>
      <c r="U46" s="1"/>
      <c r="V46" s="1"/>
      <c r="W46" s="1"/>
    </row>
    <row r="47" spans="1:23" ht="15.75" customHeight="1" x14ac:dyDescent="0.25">
      <c r="A47" t="s">
        <v>100</v>
      </c>
      <c r="B47" t="s">
        <v>101</v>
      </c>
      <c r="C47">
        <v>-3</v>
      </c>
      <c r="D47">
        <v>7.0000000000000007E-2</v>
      </c>
      <c r="E47">
        <v>10</v>
      </c>
      <c r="F47">
        <v>-22</v>
      </c>
      <c r="H47">
        <v>0.05</v>
      </c>
      <c r="I47">
        <v>0</v>
      </c>
      <c r="J47">
        <v>0</v>
      </c>
      <c r="M47">
        <v>0.06</v>
      </c>
      <c r="N47">
        <v>1200</v>
      </c>
      <c r="O47" s="2">
        <f t="shared" si="0"/>
        <v>-0.25000000000000105</v>
      </c>
      <c r="P47" s="1"/>
      <c r="Q47" s="1"/>
      <c r="R47" s="1"/>
      <c r="S47" s="1"/>
      <c r="T47" s="1"/>
      <c r="U47" s="1"/>
      <c r="V47" s="1"/>
      <c r="W47" s="1">
        <f>T47+U47*0.038+V47</f>
        <v>0</v>
      </c>
    </row>
    <row r="48" spans="1:23" ht="15.75" customHeight="1" x14ac:dyDescent="0.25">
      <c r="A48" t="s">
        <v>102</v>
      </c>
      <c r="B48" t="s">
        <v>103</v>
      </c>
      <c r="C48">
        <v>-6</v>
      </c>
      <c r="D48">
        <v>0.17</v>
      </c>
      <c r="E48">
        <v>8</v>
      </c>
      <c r="F48">
        <v>-35</v>
      </c>
      <c r="H48">
        <v>0.1</v>
      </c>
      <c r="I48">
        <v>0</v>
      </c>
      <c r="J48">
        <v>-20</v>
      </c>
      <c r="M48">
        <v>0.15</v>
      </c>
      <c r="N48">
        <v>1500</v>
      </c>
      <c r="O48" s="2">
        <f t="shared" si="0"/>
        <v>2.8499999999999992</v>
      </c>
      <c r="P48" s="1"/>
      <c r="Q48" s="1"/>
      <c r="R48" s="1">
        <f t="shared" ref="R48:R61" si="2">Q48*0.015</f>
        <v>0</v>
      </c>
      <c r="S48" s="1"/>
      <c r="T48" s="1"/>
      <c r="U48" s="1"/>
      <c r="V48" s="1"/>
      <c r="W48" s="1"/>
    </row>
    <row r="49" spans="1:23" ht="15.75" customHeight="1" x14ac:dyDescent="0.25">
      <c r="O49" s="2">
        <f t="shared" si="0"/>
        <v>0</v>
      </c>
      <c r="P49" s="1"/>
      <c r="Q49" s="1"/>
      <c r="R49" s="1">
        <f t="shared" si="2"/>
        <v>0</v>
      </c>
      <c r="S49" s="1"/>
      <c r="T49" s="1"/>
      <c r="U49" s="1"/>
      <c r="V49" s="1"/>
      <c r="W49" s="1"/>
    </row>
    <row r="50" spans="1:23" ht="15.75" customHeight="1" x14ac:dyDescent="0.25">
      <c r="A50" t="s">
        <v>104</v>
      </c>
      <c r="B50" t="s">
        <v>105</v>
      </c>
      <c r="C50">
        <v>1</v>
      </c>
      <c r="D50">
        <v>0.15</v>
      </c>
      <c r="E50">
        <v>-15</v>
      </c>
      <c r="F50">
        <v>-11</v>
      </c>
      <c r="H50">
        <v>0</v>
      </c>
      <c r="I50">
        <v>0.01</v>
      </c>
      <c r="J50">
        <v>20</v>
      </c>
      <c r="M50">
        <v>0</v>
      </c>
      <c r="N50">
        <v>1000</v>
      </c>
      <c r="O50" s="2">
        <f t="shared" si="0"/>
        <v>17.100000000000001</v>
      </c>
      <c r="P50" s="1"/>
      <c r="Q50" s="1">
        <v>7.8</v>
      </c>
      <c r="R50" s="1">
        <f t="shared" si="2"/>
        <v>0.11699999999999999</v>
      </c>
      <c r="S50" s="1"/>
      <c r="T50" s="1"/>
      <c r="U50" s="1"/>
      <c r="V50" s="1"/>
      <c r="W50" s="1"/>
    </row>
    <row r="51" spans="1:23" ht="15.75" customHeight="1" x14ac:dyDescent="0.25">
      <c r="A51" t="s">
        <v>106</v>
      </c>
      <c r="B51" t="s">
        <v>107</v>
      </c>
      <c r="C51">
        <v>1</v>
      </c>
      <c r="D51">
        <v>0.17</v>
      </c>
      <c r="E51">
        <v>-13</v>
      </c>
      <c r="F51">
        <v>-14</v>
      </c>
      <c r="H51">
        <v>0</v>
      </c>
      <c r="I51">
        <v>0.01</v>
      </c>
      <c r="J51">
        <v>20</v>
      </c>
      <c r="M51">
        <v>0</v>
      </c>
      <c r="N51">
        <v>1000</v>
      </c>
      <c r="O51" s="2">
        <f t="shared" si="0"/>
        <v>16.899999999999999</v>
      </c>
      <c r="P51" s="1"/>
      <c r="Q51" s="1">
        <v>9.5</v>
      </c>
      <c r="R51" s="1">
        <f t="shared" si="2"/>
        <v>0.14249999999999999</v>
      </c>
      <c r="S51" s="1"/>
      <c r="T51" s="1"/>
      <c r="U51" s="1"/>
      <c r="V51" s="1"/>
      <c r="W51" s="1"/>
    </row>
    <row r="52" spans="1:23" ht="15" customHeight="1" x14ac:dyDescent="0.25">
      <c r="O52" s="2">
        <f t="shared" si="0"/>
        <v>0</v>
      </c>
      <c r="P52" s="1"/>
      <c r="Q52" s="1"/>
      <c r="R52" s="1">
        <f t="shared" si="2"/>
        <v>0</v>
      </c>
      <c r="S52" s="1"/>
      <c r="T52" s="1"/>
      <c r="U52" s="1"/>
      <c r="V52" s="1"/>
      <c r="W52" s="1"/>
    </row>
    <row r="53" spans="1:23" ht="15.75" customHeight="1" x14ac:dyDescent="0.25">
      <c r="A53" t="s">
        <v>108</v>
      </c>
      <c r="B53" t="s">
        <v>109</v>
      </c>
      <c r="C53">
        <v>-6</v>
      </c>
      <c r="D53">
        <v>0.26</v>
      </c>
      <c r="E53">
        <v>-11</v>
      </c>
      <c r="F53">
        <v>-13</v>
      </c>
      <c r="H53">
        <v>-0.1</v>
      </c>
      <c r="I53">
        <v>0.05</v>
      </c>
      <c r="J53">
        <v>200</v>
      </c>
      <c r="M53">
        <v>-0.18</v>
      </c>
      <c r="N53">
        <v>2000</v>
      </c>
      <c r="O53" s="2">
        <f t="shared" si="0"/>
        <v>10.800000000000002</v>
      </c>
      <c r="P53" s="1"/>
      <c r="Q53" s="1">
        <v>17.600000000000001</v>
      </c>
      <c r="R53" s="1">
        <f t="shared" si="2"/>
        <v>0.26400000000000001</v>
      </c>
      <c r="S53" s="1"/>
      <c r="T53" s="1"/>
      <c r="U53" s="1"/>
      <c r="V53" s="1"/>
      <c r="W53" s="1"/>
    </row>
    <row r="54" spans="1:23" ht="15.75" customHeight="1" x14ac:dyDescent="0.25">
      <c r="A54" t="s">
        <v>110</v>
      </c>
      <c r="B54" t="s">
        <v>111</v>
      </c>
      <c r="C54">
        <v>-4</v>
      </c>
      <c r="D54">
        <v>0.16</v>
      </c>
      <c r="E54">
        <v>-10</v>
      </c>
      <c r="F54">
        <v>-10</v>
      </c>
      <c r="H54">
        <v>-0.08</v>
      </c>
      <c r="I54">
        <v>0.03</v>
      </c>
      <c r="J54">
        <v>150</v>
      </c>
      <c r="M54">
        <v>-0.1</v>
      </c>
      <c r="N54">
        <v>2500</v>
      </c>
      <c r="O54" s="2">
        <f t="shared" si="0"/>
        <v>10.45</v>
      </c>
      <c r="P54" s="1"/>
      <c r="Q54" s="1">
        <v>11.3</v>
      </c>
      <c r="R54" s="1">
        <f t="shared" si="2"/>
        <v>0.16950000000000001</v>
      </c>
      <c r="S54" s="1"/>
      <c r="T54" s="1"/>
      <c r="U54" s="1"/>
      <c r="V54" s="1"/>
      <c r="W54" s="1"/>
    </row>
    <row r="55" spans="1:23" ht="15.75" customHeight="1" x14ac:dyDescent="0.25">
      <c r="A55" t="s">
        <v>112</v>
      </c>
      <c r="B55" t="s">
        <v>113</v>
      </c>
      <c r="C55">
        <v>-3</v>
      </c>
      <c r="D55">
        <v>0.14000000000000001</v>
      </c>
      <c r="E55">
        <v>-3</v>
      </c>
      <c r="F55">
        <v>-3</v>
      </c>
      <c r="H55">
        <v>-0.06</v>
      </c>
      <c r="I55">
        <v>0.03</v>
      </c>
      <c r="J55">
        <v>130</v>
      </c>
      <c r="M55">
        <v>-0.16</v>
      </c>
      <c r="N55">
        <v>1000</v>
      </c>
      <c r="O55" s="2">
        <f t="shared" si="0"/>
        <v>1.9499999999999995</v>
      </c>
      <c r="P55" s="1"/>
      <c r="Q55" s="1"/>
      <c r="R55" s="1">
        <f t="shared" si="2"/>
        <v>0</v>
      </c>
      <c r="S55" s="1"/>
      <c r="T55" s="1"/>
      <c r="U55" s="1"/>
      <c r="V55" s="1"/>
      <c r="W55" s="1"/>
    </row>
    <row r="56" spans="1:23" ht="15.75" customHeight="1" x14ac:dyDescent="0.25">
      <c r="A56" t="s">
        <v>114</v>
      </c>
      <c r="B56" t="s">
        <v>115</v>
      </c>
      <c r="C56">
        <v>-5</v>
      </c>
      <c r="D56">
        <v>0.21</v>
      </c>
      <c r="E56">
        <v>-9</v>
      </c>
      <c r="F56">
        <v>-14</v>
      </c>
      <c r="H56">
        <v>-0.08</v>
      </c>
      <c r="I56">
        <v>0.05</v>
      </c>
      <c r="J56">
        <v>100</v>
      </c>
      <c r="M56">
        <v>-0.12</v>
      </c>
      <c r="N56">
        <v>1500</v>
      </c>
      <c r="O56" s="2">
        <f t="shared" si="0"/>
        <v>10.700000000000001</v>
      </c>
      <c r="P56" s="1"/>
      <c r="Q56" s="1">
        <v>9.1999999999999993</v>
      </c>
      <c r="R56" s="1">
        <f t="shared" si="2"/>
        <v>0.13799999999999998</v>
      </c>
      <c r="S56" s="1"/>
      <c r="T56" s="1"/>
      <c r="U56" s="1"/>
      <c r="V56" s="1"/>
      <c r="W56" s="1"/>
    </row>
    <row r="57" spans="1:23" ht="15.75" customHeight="1" x14ac:dyDescent="0.25">
      <c r="A57" t="s">
        <v>116</v>
      </c>
      <c r="B57" t="s">
        <v>117</v>
      </c>
      <c r="C57">
        <v>-5</v>
      </c>
      <c r="D57">
        <v>0.21</v>
      </c>
      <c r="E57">
        <v>-9</v>
      </c>
      <c r="F57">
        <v>-14</v>
      </c>
      <c r="H57">
        <v>-0.08</v>
      </c>
      <c r="I57">
        <v>0.05</v>
      </c>
      <c r="J57">
        <v>100</v>
      </c>
      <c r="M57">
        <v>-0.12</v>
      </c>
      <c r="N57">
        <v>1500</v>
      </c>
      <c r="O57" s="2">
        <f t="shared" si="0"/>
        <v>10.700000000000001</v>
      </c>
      <c r="P57" s="1"/>
      <c r="Q57" s="1"/>
      <c r="R57" s="1">
        <f t="shared" si="2"/>
        <v>0</v>
      </c>
      <c r="S57" s="1"/>
      <c r="T57" s="1"/>
      <c r="U57" s="1"/>
      <c r="V57" s="1"/>
      <c r="W57" s="1"/>
    </row>
    <row r="58" spans="1:23" ht="15.75" customHeight="1" x14ac:dyDescent="0.25">
      <c r="A58" t="s">
        <v>118</v>
      </c>
      <c r="B58" t="s">
        <v>119</v>
      </c>
      <c r="C58">
        <v>-3</v>
      </c>
      <c r="D58">
        <v>0.12</v>
      </c>
      <c r="E58">
        <v>-10</v>
      </c>
      <c r="F58">
        <v>-8</v>
      </c>
      <c r="H58">
        <v>-0.06</v>
      </c>
      <c r="I58">
        <v>0.04</v>
      </c>
      <c r="J58">
        <v>120</v>
      </c>
      <c r="M58">
        <v>-0.11</v>
      </c>
      <c r="N58">
        <v>1500</v>
      </c>
      <c r="O58" s="2">
        <f t="shared" si="0"/>
        <v>11.049999999999999</v>
      </c>
      <c r="P58" s="1"/>
      <c r="Q58" s="1">
        <v>7</v>
      </c>
      <c r="R58" s="1">
        <f t="shared" si="2"/>
        <v>0.105</v>
      </c>
      <c r="S58" s="1"/>
      <c r="T58" s="1"/>
      <c r="U58" s="1"/>
      <c r="V58" s="1"/>
      <c r="W58" s="1"/>
    </row>
    <row r="59" spans="1:23" ht="15.75" customHeight="1" x14ac:dyDescent="0.25">
      <c r="A59" t="s">
        <v>120</v>
      </c>
      <c r="B59" t="s">
        <v>121</v>
      </c>
      <c r="C59">
        <v>-5</v>
      </c>
      <c r="D59">
        <v>0.15</v>
      </c>
      <c r="E59">
        <v>-11</v>
      </c>
      <c r="F59">
        <v>-9</v>
      </c>
      <c r="H59">
        <v>-0.09</v>
      </c>
      <c r="I59">
        <v>0.05</v>
      </c>
      <c r="J59">
        <v>160</v>
      </c>
      <c r="M59">
        <v>-0.14000000000000001</v>
      </c>
      <c r="N59">
        <v>2000</v>
      </c>
      <c r="O59" s="2">
        <f t="shared" si="0"/>
        <v>11.05</v>
      </c>
      <c r="P59" s="1"/>
      <c r="Q59" s="1"/>
      <c r="R59" s="1">
        <f t="shared" si="2"/>
        <v>0</v>
      </c>
      <c r="S59" s="1"/>
      <c r="T59" s="1"/>
      <c r="U59" s="1"/>
      <c r="V59" s="1"/>
      <c r="W59" s="1"/>
    </row>
    <row r="60" spans="1:23" ht="15.75" customHeight="1" x14ac:dyDescent="0.25">
      <c r="A60" t="s">
        <v>122</v>
      </c>
      <c r="B60" t="s">
        <v>123</v>
      </c>
      <c r="C60">
        <v>-7</v>
      </c>
      <c r="D60">
        <v>0.18</v>
      </c>
      <c r="E60">
        <v>-12</v>
      </c>
      <c r="F60">
        <v>-10</v>
      </c>
      <c r="H60">
        <v>-0.12</v>
      </c>
      <c r="I60">
        <v>0.06</v>
      </c>
      <c r="J60">
        <v>200</v>
      </c>
      <c r="M60">
        <v>-0.17</v>
      </c>
      <c r="N60">
        <v>3000</v>
      </c>
      <c r="O60" s="2">
        <f t="shared" si="0"/>
        <v>11.05</v>
      </c>
      <c r="P60" s="1"/>
      <c r="Q60" s="1">
        <v>11</v>
      </c>
      <c r="R60" s="1">
        <f t="shared" si="2"/>
        <v>0.16499999999999998</v>
      </c>
      <c r="S60" s="1"/>
      <c r="T60" s="1"/>
      <c r="U60" s="1"/>
      <c r="V60" s="1"/>
      <c r="W60" s="1"/>
    </row>
    <row r="61" spans="1:23" ht="15.75" customHeight="1" x14ac:dyDescent="0.25">
      <c r="A61" t="s">
        <v>124</v>
      </c>
      <c r="B61" t="s">
        <v>125</v>
      </c>
      <c r="C61">
        <v>-1</v>
      </c>
      <c r="D61">
        <v>0.05</v>
      </c>
      <c r="E61">
        <v>-5</v>
      </c>
      <c r="F61">
        <v>-5</v>
      </c>
      <c r="H61">
        <v>0.05</v>
      </c>
      <c r="I61">
        <v>-0.01</v>
      </c>
      <c r="J61">
        <v>-30</v>
      </c>
      <c r="M61">
        <v>0</v>
      </c>
      <c r="N61">
        <v>700</v>
      </c>
      <c r="O61" s="2">
        <f t="shared" si="0"/>
        <v>3.7</v>
      </c>
      <c r="P61" s="1"/>
      <c r="Q61" s="1">
        <v>2</v>
      </c>
      <c r="R61" s="1">
        <f t="shared" si="2"/>
        <v>0.03</v>
      </c>
      <c r="S61" s="1"/>
      <c r="T61" s="1"/>
      <c r="U61" s="1"/>
      <c r="V61" s="1"/>
      <c r="W61" s="1"/>
    </row>
    <row r="62" spans="1:23" ht="15.75" customHeight="1" x14ac:dyDescent="0.25">
      <c r="A62" t="s">
        <v>126</v>
      </c>
      <c r="B62" t="s">
        <v>127</v>
      </c>
      <c r="C62">
        <v>-1</v>
      </c>
      <c r="D62">
        <v>0.04</v>
      </c>
      <c r="E62">
        <v>-9</v>
      </c>
      <c r="F62">
        <v>-9</v>
      </c>
      <c r="H62">
        <v>0</v>
      </c>
      <c r="I62">
        <v>0</v>
      </c>
      <c r="J62">
        <v>-30</v>
      </c>
      <c r="M62">
        <v>0</v>
      </c>
      <c r="N62">
        <v>300</v>
      </c>
      <c r="O62" s="2">
        <f t="shared" si="0"/>
        <v>10.65</v>
      </c>
      <c r="P62" s="1"/>
      <c r="Q62" s="1"/>
      <c r="R62" s="1"/>
      <c r="S62" s="1"/>
      <c r="T62" s="1"/>
      <c r="U62" s="1"/>
      <c r="V62" s="1"/>
      <c r="W62" s="1"/>
    </row>
    <row r="63" spans="1:23" ht="15.75" customHeight="1" x14ac:dyDescent="0.25">
      <c r="A63" t="s">
        <v>128</v>
      </c>
      <c r="B63" t="s">
        <v>129</v>
      </c>
      <c r="C63">
        <v>-6</v>
      </c>
      <c r="D63">
        <v>0.18</v>
      </c>
      <c r="E63">
        <v>-13</v>
      </c>
      <c r="F63">
        <v>-13</v>
      </c>
      <c r="H63">
        <v>-0.12</v>
      </c>
      <c r="I63">
        <v>0.04</v>
      </c>
      <c r="J63">
        <v>150</v>
      </c>
      <c r="M63">
        <v>-0.17</v>
      </c>
      <c r="N63">
        <v>1000</v>
      </c>
      <c r="O63" s="2">
        <f t="shared" si="0"/>
        <v>13.600000000000001</v>
      </c>
      <c r="P63" s="1"/>
      <c r="Q63" s="1">
        <v>12.6</v>
      </c>
      <c r="R63" s="1">
        <f>Q63*0.015</f>
        <v>0.189</v>
      </c>
      <c r="S63" s="1"/>
      <c r="T63" s="1"/>
      <c r="U63" s="1"/>
      <c r="V63" s="1"/>
      <c r="W63" s="1"/>
    </row>
    <row r="64" spans="1:23" ht="15.75" customHeight="1" x14ac:dyDescent="0.25">
      <c r="A64" t="s">
        <v>130</v>
      </c>
      <c r="B64" t="s">
        <v>131</v>
      </c>
      <c r="C64">
        <v>0</v>
      </c>
      <c r="D64">
        <v>0.03</v>
      </c>
      <c r="M64">
        <v>0</v>
      </c>
      <c r="N64">
        <v>200</v>
      </c>
      <c r="O64" s="2">
        <f t="shared" si="0"/>
        <v>-0.6</v>
      </c>
      <c r="P64" s="1"/>
      <c r="Q64" s="1"/>
      <c r="R64" s="1"/>
      <c r="S64" s="1"/>
      <c r="T64" s="1"/>
      <c r="U64" s="1"/>
      <c r="V64" s="1"/>
      <c r="W64" s="1"/>
    </row>
    <row r="65" spans="1:23" ht="15.75" customHeight="1" x14ac:dyDescent="0.25">
      <c r="O65" s="2">
        <f t="shared" si="0"/>
        <v>0</v>
      </c>
      <c r="P65" s="1"/>
      <c r="Q65" s="1"/>
      <c r="R65" s="1"/>
      <c r="S65" s="1"/>
      <c r="T65" s="1"/>
      <c r="U65" s="1"/>
      <c r="V65" s="1"/>
      <c r="W65" s="1"/>
    </row>
    <row r="66" spans="1:23" ht="15.75" customHeight="1" x14ac:dyDescent="0.25">
      <c r="A66" t="s">
        <v>132</v>
      </c>
      <c r="B66" t="s">
        <v>133</v>
      </c>
      <c r="C66">
        <v>-1</v>
      </c>
      <c r="D66">
        <v>0.05</v>
      </c>
      <c r="E66">
        <v>0</v>
      </c>
      <c r="F66">
        <v>-1</v>
      </c>
      <c r="H66">
        <v>0.05</v>
      </c>
      <c r="I66">
        <v>0</v>
      </c>
      <c r="J66">
        <v>20</v>
      </c>
      <c r="M66">
        <v>0</v>
      </c>
      <c r="N66">
        <v>500</v>
      </c>
      <c r="O66" s="2">
        <f t="shared" si="0"/>
        <v>-2.0499999999999998</v>
      </c>
      <c r="P66" s="1"/>
      <c r="Q66" s="1"/>
      <c r="R66" s="1"/>
      <c r="S66" s="1"/>
      <c r="T66" s="1"/>
      <c r="U66" s="1"/>
      <c r="V66" s="1"/>
      <c r="W66" s="1"/>
    </row>
    <row r="67" spans="1:23" ht="15.75" customHeight="1" x14ac:dyDescent="0.25">
      <c r="A67" t="s">
        <v>134</v>
      </c>
      <c r="B67" t="s">
        <v>135</v>
      </c>
      <c r="C67">
        <v>-2</v>
      </c>
      <c r="D67">
        <v>0.09</v>
      </c>
      <c r="E67">
        <v>0</v>
      </c>
      <c r="F67">
        <v>-2</v>
      </c>
      <c r="H67">
        <v>0.1</v>
      </c>
      <c r="I67">
        <v>0</v>
      </c>
      <c r="J67">
        <v>40</v>
      </c>
      <c r="M67">
        <v>-0.01</v>
      </c>
      <c r="N67">
        <v>750</v>
      </c>
      <c r="O67" s="2">
        <f t="shared" si="0"/>
        <v>-3.8499999999999996</v>
      </c>
      <c r="P67" s="1"/>
      <c r="Q67" s="1"/>
      <c r="R67" s="1"/>
      <c r="S67" s="1"/>
      <c r="T67" s="1"/>
      <c r="U67" s="1"/>
      <c r="V67" s="1"/>
      <c r="W67" s="1"/>
    </row>
    <row r="68" spans="1:23" ht="15.75" customHeight="1" x14ac:dyDescent="0.25">
      <c r="A68" t="s">
        <v>136</v>
      </c>
      <c r="B68" t="s">
        <v>137</v>
      </c>
      <c r="C68">
        <v>-3</v>
      </c>
      <c r="D68">
        <v>0.17</v>
      </c>
      <c r="E68">
        <v>0</v>
      </c>
      <c r="F68">
        <v>-4</v>
      </c>
      <c r="H68">
        <v>0.2</v>
      </c>
      <c r="I68">
        <v>0</v>
      </c>
      <c r="J68">
        <v>80</v>
      </c>
      <c r="M68">
        <v>-0.02</v>
      </c>
      <c r="N68">
        <v>1000</v>
      </c>
      <c r="O68" s="2">
        <f t="shared" ref="O68" si="3">C68-D68*20-E68*0.8-F68*0.6-H68*15+I68*40+J68/200-M68*5</f>
        <v>-6.5</v>
      </c>
      <c r="P68" s="1"/>
      <c r="Q68" s="1"/>
      <c r="R68" s="1"/>
      <c r="S68" s="1"/>
      <c r="T68" s="1"/>
      <c r="U68" s="1"/>
      <c r="V68" s="1"/>
      <c r="W68" s="1"/>
    </row>
    <row r="69" spans="1:23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2"/>
      <c r="P69" s="1"/>
      <c r="Q69" s="1"/>
      <c r="R69" s="1"/>
      <c r="S69" s="1"/>
      <c r="T69" s="1"/>
      <c r="U69" s="1"/>
      <c r="V69" s="1"/>
      <c r="W69" s="1"/>
    </row>
    <row r="70" spans="1:23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2"/>
      <c r="P70" s="1"/>
      <c r="Q70" s="1"/>
      <c r="R70" s="1"/>
      <c r="S70" s="1"/>
      <c r="T70" s="1"/>
      <c r="U70" s="1"/>
      <c r="V70" s="1"/>
      <c r="W70" s="1"/>
    </row>
    <row r="71" spans="1:23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2"/>
      <c r="P71" s="1"/>
      <c r="Q71" s="1"/>
      <c r="R71" s="1"/>
      <c r="S71" s="1"/>
      <c r="T71" s="1"/>
      <c r="U71" s="1"/>
      <c r="V71" s="1"/>
      <c r="W71" s="1"/>
    </row>
    <row r="72" spans="1:23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2"/>
      <c r="P72" s="1"/>
      <c r="Q72" s="1"/>
      <c r="R72" s="1"/>
      <c r="S72" s="1"/>
      <c r="T72" s="1"/>
      <c r="U72" s="1"/>
      <c r="V72" s="1"/>
      <c r="W72" s="1"/>
    </row>
    <row r="73" spans="1:23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2"/>
      <c r="P73" s="1"/>
      <c r="Q73" s="1"/>
      <c r="R73" s="1"/>
      <c r="S73" s="1"/>
      <c r="T73" s="1"/>
      <c r="U73" s="1"/>
      <c r="V73" s="1"/>
      <c r="W73" s="1"/>
    </row>
    <row r="74" spans="1:23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2"/>
      <c r="P74" s="1"/>
      <c r="Q74" s="1"/>
      <c r="R74" s="1"/>
      <c r="S74" s="1"/>
      <c r="T74" s="1"/>
      <c r="U74" s="1"/>
      <c r="V74" s="1"/>
      <c r="W74" s="1"/>
    </row>
    <row r="75" spans="1:23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2"/>
      <c r="P75" s="1"/>
      <c r="Q75" s="1"/>
      <c r="R75" s="1"/>
      <c r="S75" s="1"/>
      <c r="T75" s="1"/>
      <c r="U75" s="1"/>
      <c r="V75" s="1"/>
      <c r="W75" s="1"/>
    </row>
    <row r="76" spans="1:23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/>
      <c r="P76" s="1"/>
      <c r="Q76" s="1"/>
      <c r="R76" s="1"/>
      <c r="S76" s="1"/>
      <c r="T76" s="1"/>
      <c r="U76" s="1"/>
      <c r="V76" s="1"/>
      <c r="W76" s="1"/>
    </row>
    <row r="77" spans="1:23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/>
      <c r="P77" s="1"/>
      <c r="Q77" s="1"/>
      <c r="R77" s="1"/>
      <c r="S77" s="1"/>
      <c r="T77" s="1"/>
      <c r="U77" s="1"/>
      <c r="V77" s="1"/>
      <c r="W77" s="1"/>
    </row>
    <row r="78" spans="1:23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/>
      <c r="P78" s="1"/>
      <c r="Q78" s="1"/>
      <c r="R78" s="1"/>
      <c r="S78" s="1"/>
      <c r="T78" s="1"/>
      <c r="U78" s="1"/>
      <c r="V78" s="1"/>
      <c r="W78" s="1"/>
    </row>
    <row r="79" spans="1:23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/>
      <c r="P79" s="1"/>
      <c r="Q79" s="1"/>
      <c r="R79" s="1"/>
      <c r="S79" s="1"/>
      <c r="T79" s="1"/>
      <c r="U79" s="1"/>
      <c r="V79" s="1"/>
      <c r="W79" s="1"/>
    </row>
    <row r="80" spans="1:23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/>
      <c r="P80" s="1"/>
      <c r="Q80" s="1"/>
      <c r="R80" s="1"/>
      <c r="S80" s="1"/>
      <c r="T80" s="1"/>
      <c r="U80" s="1"/>
      <c r="V80" s="1"/>
      <c r="W80" s="1"/>
    </row>
    <row r="81" spans="1:23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/>
      <c r="P81" s="1"/>
      <c r="Q81" s="1"/>
      <c r="R81" s="1"/>
      <c r="S81" s="1"/>
      <c r="T81" s="1"/>
      <c r="U81" s="1"/>
      <c r="V81" s="1"/>
      <c r="W81" s="1"/>
    </row>
    <row r="82" spans="1:23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/>
      <c r="P82" s="1"/>
      <c r="Q82" s="1"/>
      <c r="R82" s="1"/>
      <c r="S82" s="1"/>
      <c r="T82" s="1"/>
      <c r="U82" s="1"/>
      <c r="V82" s="1"/>
      <c r="W82" s="1"/>
    </row>
    <row r="83" spans="1:23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2"/>
      <c r="P83" s="1"/>
      <c r="Q83" s="1"/>
      <c r="R83" s="1"/>
      <c r="S83" s="1"/>
      <c r="T83" s="1"/>
      <c r="U83" s="1"/>
      <c r="V83" s="1"/>
      <c r="W83" s="1"/>
    </row>
    <row r="84" spans="1:23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2"/>
      <c r="P84" s="1"/>
      <c r="Q84" s="1"/>
      <c r="R84" s="1"/>
      <c r="S84" s="1"/>
      <c r="T84" s="1"/>
      <c r="U84" s="1"/>
      <c r="V84" s="1"/>
      <c r="W84" s="1"/>
    </row>
    <row r="85" spans="1:23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2"/>
      <c r="P85" s="1"/>
      <c r="Q85" s="1"/>
      <c r="R85" s="1"/>
      <c r="S85" s="1"/>
      <c r="T85" s="1"/>
      <c r="U85" s="1"/>
      <c r="V85" s="1"/>
      <c r="W85" s="1"/>
    </row>
    <row r="86" spans="1:23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2"/>
      <c r="P86" s="1"/>
      <c r="Q86" s="1"/>
      <c r="R86" s="1"/>
      <c r="S86" s="1"/>
      <c r="T86" s="1"/>
      <c r="U86" s="1"/>
      <c r="V86" s="1"/>
      <c r="W86" s="1"/>
    </row>
    <row r="87" spans="1:23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2"/>
      <c r="P87" s="1"/>
      <c r="Q87" s="1"/>
      <c r="R87" s="1"/>
      <c r="S87" s="1"/>
      <c r="T87" s="1"/>
      <c r="U87" s="1"/>
      <c r="V87" s="1"/>
      <c r="W87" s="1"/>
    </row>
    <row r="88" spans="1:23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2"/>
      <c r="P88" s="1"/>
      <c r="Q88" s="1"/>
      <c r="R88" s="1"/>
      <c r="S88" s="1"/>
      <c r="T88" s="1"/>
      <c r="U88" s="1"/>
      <c r="V88" s="1"/>
      <c r="W88" s="1"/>
    </row>
    <row r="89" spans="1:23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2"/>
      <c r="P89" s="1"/>
      <c r="Q89" s="1"/>
      <c r="R89" s="1"/>
      <c r="S89" s="1"/>
      <c r="T89" s="1"/>
      <c r="U89" s="1"/>
      <c r="V89" s="1"/>
      <c r="W89" s="1"/>
    </row>
    <row r="90" spans="1:23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2"/>
      <c r="P90" s="1"/>
      <c r="Q90" s="1"/>
      <c r="R90" s="1"/>
      <c r="S90" s="1"/>
      <c r="T90" s="1"/>
      <c r="U90" s="1"/>
      <c r="V90" s="1"/>
      <c r="W90" s="1"/>
    </row>
    <row r="91" spans="1:23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2"/>
      <c r="P91" s="1"/>
      <c r="Q91" s="1"/>
      <c r="R91" s="1"/>
      <c r="S91" s="1"/>
      <c r="T91" s="1"/>
      <c r="U91" s="1"/>
      <c r="V91" s="1"/>
      <c r="W91" s="1"/>
    </row>
    <row r="92" spans="1:23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2"/>
      <c r="P92" s="1"/>
      <c r="Q92" s="1"/>
      <c r="R92" s="1"/>
      <c r="S92" s="1"/>
      <c r="T92" s="1"/>
      <c r="U92" s="1"/>
      <c r="V92" s="1"/>
      <c r="W92" s="1"/>
    </row>
    <row r="93" spans="1:23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2"/>
      <c r="P93" s="1"/>
      <c r="Q93" s="1"/>
      <c r="R93" s="1"/>
      <c r="S93" s="1"/>
      <c r="T93" s="1"/>
      <c r="U93" s="1"/>
      <c r="V93" s="1"/>
      <c r="W93" s="1"/>
    </row>
    <row r="94" spans="1:23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/>
      <c r="P94" s="1"/>
      <c r="Q94" s="1"/>
      <c r="R94" s="1"/>
      <c r="S94" s="1"/>
      <c r="T94" s="1"/>
      <c r="U94" s="1"/>
      <c r="V94" s="1"/>
      <c r="W94" s="1"/>
    </row>
    <row r="95" spans="1:23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/>
      <c r="P95" s="1"/>
      <c r="Q95" s="1"/>
      <c r="R95" s="1"/>
      <c r="S95" s="1"/>
      <c r="T95" s="1"/>
      <c r="U95" s="1"/>
      <c r="V95" s="1"/>
      <c r="W95" s="1"/>
    </row>
    <row r="96" spans="1:23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/>
      <c r="P96" s="1"/>
      <c r="Q96" s="1"/>
      <c r="R96" s="1"/>
      <c r="S96" s="1"/>
      <c r="T96" s="1"/>
      <c r="U96" s="1"/>
      <c r="V96" s="1"/>
      <c r="W96" s="1"/>
    </row>
    <row r="97" spans="1:23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/>
      <c r="P97" s="1"/>
      <c r="Q97" s="1"/>
      <c r="R97" s="1"/>
      <c r="S97" s="1"/>
      <c r="T97" s="1"/>
      <c r="U97" s="1"/>
      <c r="V97" s="1"/>
      <c r="W97" s="1"/>
    </row>
    <row r="98" spans="1:23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/>
      <c r="P98" s="1"/>
      <c r="Q98" s="1"/>
      <c r="R98" s="1"/>
      <c r="S98" s="1"/>
      <c r="T98" s="1"/>
      <c r="U98" s="1"/>
      <c r="V98" s="1"/>
      <c r="W98" s="1"/>
    </row>
    <row r="99" spans="1:23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/>
      <c r="P99" s="1"/>
      <c r="Q99" s="1"/>
      <c r="R99" s="1"/>
      <c r="S99" s="1"/>
      <c r="T99" s="1"/>
      <c r="U99" s="1"/>
      <c r="V99" s="1"/>
      <c r="W99" s="1"/>
    </row>
    <row r="100" spans="1:23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2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2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2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2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2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2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2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2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2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2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2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2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2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2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2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2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2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2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2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2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2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2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2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2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2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2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2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2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2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2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2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2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2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2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2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2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2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2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2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2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2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2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2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2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2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2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2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2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2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2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2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2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2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2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2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2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2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2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2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2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2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2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2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2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2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2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2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2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2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2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2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2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/>
      <c r="P221" s="1"/>
      <c r="Q221" s="1"/>
      <c r="R221" s="1"/>
      <c r="S221" s="1"/>
      <c r="T221" s="1"/>
      <c r="U221" s="1"/>
      <c r="V221" s="1"/>
      <c r="W221" s="1"/>
    </row>
    <row r="222" spans="1:23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/>
      <c r="P222" s="1"/>
      <c r="Q222" s="1"/>
      <c r="R222" s="1"/>
      <c r="S222" s="1"/>
      <c r="T222" s="1"/>
      <c r="U222" s="1"/>
      <c r="V222" s="1"/>
      <c r="W222" s="1"/>
    </row>
    <row r="223" spans="1:23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/>
      <c r="P223" s="1"/>
      <c r="Q223" s="1"/>
      <c r="R223" s="1"/>
      <c r="S223" s="1"/>
      <c r="T223" s="1"/>
      <c r="U223" s="1"/>
      <c r="V223" s="1"/>
      <c r="W223" s="1"/>
    </row>
    <row r="224" spans="1:23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2"/>
      <c r="P224" s="1"/>
      <c r="Q224" s="1"/>
      <c r="R224" s="1"/>
      <c r="S224" s="1"/>
      <c r="T224" s="1"/>
      <c r="U224" s="1"/>
      <c r="V224" s="1"/>
      <c r="W224" s="1"/>
    </row>
    <row r="225" spans="1:23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2"/>
      <c r="P225" s="1"/>
      <c r="Q225" s="1"/>
      <c r="R225" s="1"/>
      <c r="S225" s="1"/>
      <c r="T225" s="1"/>
      <c r="U225" s="1"/>
      <c r="V225" s="1"/>
      <c r="W225" s="1"/>
    </row>
    <row r="226" spans="1:23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2"/>
      <c r="P226" s="1"/>
      <c r="Q226" s="1"/>
      <c r="R226" s="1"/>
      <c r="S226" s="1"/>
      <c r="T226" s="1"/>
      <c r="U226" s="1"/>
      <c r="V226" s="1"/>
      <c r="W226" s="1"/>
    </row>
    <row r="227" spans="1:23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2"/>
      <c r="P227" s="1"/>
      <c r="Q227" s="1"/>
      <c r="R227" s="1"/>
      <c r="S227" s="1"/>
      <c r="T227" s="1"/>
      <c r="U227" s="1"/>
      <c r="V227" s="1"/>
      <c r="W227" s="1"/>
    </row>
    <row r="228" spans="1:23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2"/>
      <c r="P228" s="1"/>
      <c r="Q228" s="1"/>
      <c r="R228" s="1"/>
      <c r="S228" s="1"/>
      <c r="T228" s="1"/>
      <c r="U228" s="1"/>
      <c r="V228" s="1"/>
      <c r="W228" s="1"/>
    </row>
    <row r="229" spans="1:23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2"/>
      <c r="P229" s="1"/>
      <c r="Q229" s="1"/>
      <c r="R229" s="1"/>
      <c r="S229" s="1"/>
      <c r="T229" s="1"/>
      <c r="U229" s="1"/>
      <c r="V229" s="1"/>
      <c r="W229" s="1"/>
    </row>
    <row r="230" spans="1:23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2"/>
      <c r="P230" s="1"/>
      <c r="Q230" s="1"/>
      <c r="R230" s="1"/>
      <c r="S230" s="1"/>
      <c r="T230" s="1"/>
      <c r="U230" s="1"/>
      <c r="V230" s="1"/>
      <c r="W230" s="1"/>
    </row>
    <row r="231" spans="1:23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2"/>
      <c r="P231" s="1"/>
      <c r="Q231" s="1"/>
      <c r="R231" s="1"/>
      <c r="S231" s="1"/>
      <c r="T231" s="1"/>
      <c r="U231" s="1"/>
      <c r="V231" s="1"/>
      <c r="W231" s="1"/>
    </row>
    <row r="232" spans="1:23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2"/>
      <c r="P232" s="1"/>
      <c r="Q232" s="1"/>
      <c r="R232" s="1"/>
      <c r="S232" s="1"/>
      <c r="T232" s="1"/>
      <c r="U232" s="1"/>
      <c r="V232" s="1"/>
      <c r="W232" s="1"/>
    </row>
    <row r="233" spans="1:23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2"/>
      <c r="P233" s="1"/>
      <c r="Q233" s="1"/>
      <c r="R233" s="1"/>
      <c r="S233" s="1"/>
      <c r="T233" s="1"/>
      <c r="U233" s="1"/>
      <c r="V233" s="1"/>
      <c r="W233" s="1"/>
    </row>
    <row r="234" spans="1:23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2"/>
      <c r="P234" s="1"/>
      <c r="Q234" s="1"/>
      <c r="R234" s="1"/>
      <c r="S234" s="1"/>
      <c r="T234" s="1"/>
      <c r="U234" s="1"/>
      <c r="V234" s="1"/>
      <c r="W234" s="1"/>
    </row>
    <row r="235" spans="1:23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/>
      <c r="P235" s="1"/>
      <c r="Q235" s="1"/>
      <c r="R235" s="1"/>
      <c r="S235" s="1"/>
      <c r="T235" s="1"/>
      <c r="U235" s="1"/>
      <c r="V235" s="1"/>
      <c r="W235" s="1"/>
    </row>
    <row r="236" spans="1:23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/>
      <c r="P236" s="1"/>
      <c r="Q236" s="1"/>
      <c r="R236" s="1"/>
      <c r="S236" s="1"/>
      <c r="T236" s="1"/>
      <c r="U236" s="1"/>
      <c r="V236" s="1"/>
      <c r="W236" s="1"/>
    </row>
    <row r="237" spans="1:23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/>
      <c r="P237" s="1"/>
      <c r="Q237" s="1"/>
      <c r="R237" s="1"/>
      <c r="S237" s="1"/>
      <c r="T237" s="1"/>
      <c r="U237" s="1"/>
      <c r="V237" s="1"/>
      <c r="W237" s="1"/>
    </row>
    <row r="238" spans="1:23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/>
      <c r="P238" s="1"/>
      <c r="Q238" s="1"/>
      <c r="R238" s="1"/>
      <c r="S238" s="1"/>
      <c r="T238" s="1"/>
      <c r="U238" s="1"/>
      <c r="V238" s="1"/>
      <c r="W238" s="1"/>
    </row>
    <row r="239" spans="1:23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/>
      <c r="P239" s="1"/>
      <c r="Q239" s="1"/>
      <c r="R239" s="1"/>
      <c r="S239" s="1"/>
      <c r="T239" s="1"/>
      <c r="U239" s="1"/>
      <c r="V239" s="1"/>
      <c r="W239" s="1"/>
    </row>
    <row r="240" spans="1:23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/>
      <c r="P240" s="1"/>
      <c r="Q240" s="1"/>
      <c r="R240" s="1"/>
      <c r="S240" s="1"/>
      <c r="T240" s="1"/>
      <c r="U240" s="1"/>
      <c r="V240" s="1"/>
      <c r="W240" s="1"/>
    </row>
    <row r="241" spans="1:23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2"/>
      <c r="P241" s="1"/>
      <c r="Q241" s="1"/>
      <c r="R241" s="1"/>
      <c r="S241" s="1"/>
      <c r="T241" s="1"/>
      <c r="U241" s="1"/>
      <c r="V241" s="1"/>
      <c r="W241" s="1"/>
    </row>
    <row r="242" spans="1:23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2"/>
      <c r="P242" s="1"/>
      <c r="Q242" s="1"/>
      <c r="R242" s="1"/>
      <c r="S242" s="1"/>
      <c r="T242" s="1"/>
      <c r="U242" s="1"/>
      <c r="V242" s="1"/>
      <c r="W242" s="1"/>
    </row>
    <row r="243" spans="1:23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2"/>
      <c r="P243" s="1"/>
      <c r="Q243" s="1"/>
      <c r="R243" s="1"/>
      <c r="S243" s="1"/>
      <c r="T243" s="1"/>
      <c r="U243" s="1"/>
      <c r="V243" s="1"/>
      <c r="W243" s="1"/>
    </row>
    <row r="244" spans="1:23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2"/>
      <c r="P244" s="1"/>
      <c r="Q244" s="1"/>
      <c r="R244" s="1"/>
      <c r="S244" s="1"/>
      <c r="T244" s="1"/>
      <c r="U244" s="1"/>
      <c r="V244" s="1"/>
      <c r="W244" s="1"/>
    </row>
    <row r="245" spans="1:23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2"/>
      <c r="P245" s="1"/>
      <c r="Q245" s="1"/>
      <c r="R245" s="1"/>
      <c r="S245" s="1"/>
      <c r="T245" s="1"/>
      <c r="U245" s="1"/>
      <c r="V245" s="1"/>
      <c r="W245" s="1"/>
    </row>
    <row r="246" spans="1:23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2"/>
      <c r="P246" s="1"/>
      <c r="Q246" s="1"/>
      <c r="R246" s="1"/>
      <c r="S246" s="1"/>
      <c r="T246" s="1"/>
      <c r="U246" s="1"/>
      <c r="V246" s="1"/>
      <c r="W246" s="1"/>
    </row>
    <row r="247" spans="1:23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2"/>
      <c r="P247" s="1"/>
      <c r="Q247" s="1"/>
      <c r="R247" s="1"/>
      <c r="S247" s="1"/>
      <c r="T247" s="1"/>
      <c r="U247" s="1"/>
      <c r="V247" s="1"/>
      <c r="W247" s="1"/>
    </row>
    <row r="248" spans="1:23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2"/>
      <c r="P248" s="1"/>
      <c r="Q248" s="1"/>
      <c r="R248" s="1"/>
      <c r="S248" s="1"/>
      <c r="T248" s="1"/>
      <c r="U248" s="1"/>
      <c r="V248" s="1"/>
      <c r="W248" s="1"/>
    </row>
    <row r="249" spans="1:23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2"/>
      <c r="P249" s="1"/>
      <c r="Q249" s="1"/>
      <c r="R249" s="1"/>
      <c r="S249" s="1"/>
      <c r="T249" s="1"/>
      <c r="U249" s="1"/>
      <c r="V249" s="1"/>
      <c r="W249" s="1"/>
    </row>
    <row r="250" spans="1:23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2"/>
      <c r="P250" s="1"/>
      <c r="Q250" s="1"/>
      <c r="R250" s="1"/>
      <c r="S250" s="1"/>
      <c r="T250" s="1"/>
      <c r="U250" s="1"/>
      <c r="V250" s="1"/>
      <c r="W250" s="1"/>
    </row>
    <row r="251" spans="1:23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2"/>
      <c r="P251" s="1"/>
      <c r="Q251" s="1"/>
      <c r="R251" s="1"/>
      <c r="S251" s="1"/>
      <c r="T251" s="1"/>
      <c r="U251" s="1"/>
      <c r="V251" s="1"/>
      <c r="W251" s="1"/>
    </row>
    <row r="252" spans="1:23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/>
      <c r="P252" s="1"/>
      <c r="Q252" s="1"/>
      <c r="R252" s="1"/>
      <c r="S252" s="1"/>
      <c r="T252" s="1"/>
      <c r="U252" s="1"/>
      <c r="V252" s="1"/>
      <c r="W252" s="1"/>
    </row>
    <row r="253" spans="1:23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/>
      <c r="P253" s="1"/>
      <c r="Q253" s="1"/>
      <c r="R253" s="1"/>
      <c r="S253" s="1"/>
      <c r="T253" s="1"/>
      <c r="U253" s="1"/>
      <c r="V253" s="1"/>
      <c r="W253" s="1"/>
    </row>
    <row r="254" spans="1:23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/>
      <c r="P254" s="1"/>
      <c r="Q254" s="1"/>
      <c r="R254" s="1"/>
      <c r="S254" s="1"/>
      <c r="T254" s="1"/>
      <c r="U254" s="1"/>
      <c r="V254" s="1"/>
      <c r="W254" s="1"/>
    </row>
    <row r="255" spans="1:23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/>
      <c r="P255" s="1"/>
      <c r="Q255" s="1"/>
      <c r="R255" s="1"/>
      <c r="S255" s="1"/>
      <c r="T255" s="1"/>
      <c r="U255" s="1"/>
      <c r="V255" s="1"/>
      <c r="W255" s="1"/>
    </row>
    <row r="256" spans="1:23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/>
      <c r="P256" s="1"/>
      <c r="Q256" s="1"/>
      <c r="R256" s="1"/>
      <c r="S256" s="1"/>
      <c r="T256" s="1"/>
      <c r="U256" s="1"/>
      <c r="V256" s="1"/>
      <c r="W256" s="1"/>
    </row>
    <row r="257" spans="1:23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/>
      <c r="P257" s="1"/>
      <c r="Q257" s="1"/>
      <c r="R257" s="1"/>
      <c r="S257" s="1"/>
      <c r="T257" s="1"/>
      <c r="U257" s="1"/>
      <c r="V257" s="1"/>
      <c r="W257" s="1"/>
    </row>
    <row r="258" spans="1:23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2"/>
      <c r="P258" s="1"/>
      <c r="Q258" s="1"/>
      <c r="R258" s="1"/>
      <c r="S258" s="1"/>
      <c r="T258" s="1"/>
      <c r="U258" s="1"/>
      <c r="V258" s="1"/>
      <c r="W258" s="1"/>
    </row>
    <row r="259" spans="1:23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2"/>
      <c r="P259" s="1"/>
      <c r="Q259" s="1"/>
      <c r="R259" s="1"/>
      <c r="S259" s="1"/>
      <c r="T259" s="1"/>
      <c r="U259" s="1"/>
      <c r="V259" s="1"/>
      <c r="W259" s="1"/>
    </row>
    <row r="260" spans="1:23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2"/>
      <c r="P260" s="1"/>
      <c r="Q260" s="1"/>
      <c r="R260" s="1"/>
      <c r="S260" s="1"/>
      <c r="T260" s="1"/>
      <c r="U260" s="1"/>
      <c r="V260" s="1"/>
      <c r="W260" s="1"/>
    </row>
    <row r="261" spans="1:23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2"/>
      <c r="P261" s="1"/>
      <c r="Q261" s="1"/>
      <c r="R261" s="1"/>
      <c r="S261" s="1"/>
      <c r="T261" s="1"/>
      <c r="U261" s="1"/>
      <c r="V261" s="1"/>
      <c r="W261" s="1"/>
    </row>
    <row r="262" spans="1:23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2"/>
      <c r="P262" s="1"/>
      <c r="Q262" s="1"/>
      <c r="R262" s="1"/>
      <c r="S262" s="1"/>
      <c r="T262" s="1"/>
      <c r="U262" s="1"/>
      <c r="V262" s="1"/>
      <c r="W262" s="1"/>
    </row>
    <row r="263" spans="1:23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2"/>
      <c r="P263" s="1"/>
      <c r="Q263" s="1"/>
      <c r="R263" s="1"/>
      <c r="S263" s="1"/>
      <c r="T263" s="1"/>
      <c r="U263" s="1"/>
      <c r="V263" s="1"/>
      <c r="W263" s="1"/>
    </row>
    <row r="264" spans="1:23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2"/>
      <c r="P264" s="1"/>
      <c r="Q264" s="1"/>
      <c r="R264" s="1"/>
      <c r="S264" s="1"/>
      <c r="T264" s="1"/>
      <c r="U264" s="1"/>
      <c r="V264" s="1"/>
      <c r="W264" s="1"/>
    </row>
    <row r="265" spans="1:23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2"/>
      <c r="P265" s="1"/>
      <c r="Q265" s="1"/>
      <c r="R265" s="1"/>
      <c r="S265" s="1"/>
      <c r="T265" s="1"/>
      <c r="U265" s="1"/>
      <c r="V265" s="1"/>
      <c r="W265" s="1"/>
    </row>
    <row r="266" spans="1:23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2"/>
      <c r="P266" s="1"/>
      <c r="Q266" s="1"/>
      <c r="R266" s="1"/>
      <c r="S266" s="1"/>
      <c r="T266" s="1"/>
      <c r="U266" s="1"/>
      <c r="V266" s="1"/>
      <c r="W266" s="1"/>
    </row>
    <row r="267" spans="1:23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/>
      <c r="P267" s="1"/>
      <c r="Q267" s="1"/>
      <c r="R267" s="1"/>
      <c r="S267" s="1"/>
      <c r="T267" s="1"/>
      <c r="U267" s="1"/>
      <c r="V267" s="1"/>
      <c r="W267" s="1"/>
    </row>
    <row r="268" spans="1:23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/>
      <c r="P268" s="1"/>
      <c r="Q268" s="1"/>
      <c r="R268" s="1"/>
      <c r="S268" s="1"/>
      <c r="T268" s="1"/>
      <c r="U268" s="1"/>
      <c r="V268" s="1"/>
      <c r="W268" s="1"/>
    </row>
    <row r="269" spans="1:23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/>
      <c r="P269" s="1"/>
      <c r="Q269" s="1"/>
      <c r="R269" s="1"/>
      <c r="S269" s="1"/>
      <c r="T269" s="1"/>
      <c r="U269" s="1"/>
      <c r="V269" s="1"/>
      <c r="W269" s="1"/>
    </row>
    <row r="270" spans="1:23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/>
      <c r="P270" s="1"/>
      <c r="Q270" s="1"/>
      <c r="R270" s="1"/>
      <c r="S270" s="1"/>
      <c r="T270" s="1"/>
      <c r="U270" s="1"/>
      <c r="V270" s="1"/>
      <c r="W270" s="1"/>
    </row>
    <row r="271" spans="1:23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/>
      <c r="P271" s="1"/>
      <c r="Q271" s="1"/>
      <c r="R271" s="1"/>
      <c r="S271" s="1"/>
      <c r="T271" s="1"/>
      <c r="U271" s="1"/>
      <c r="V271" s="1"/>
      <c r="W271" s="1"/>
    </row>
    <row r="272" spans="1:23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/>
      <c r="P272" s="1"/>
      <c r="Q272" s="1"/>
      <c r="R272" s="1"/>
      <c r="S272" s="1"/>
      <c r="T272" s="1"/>
      <c r="U272" s="1"/>
      <c r="V272" s="1"/>
      <c r="W272" s="1"/>
    </row>
    <row r="273" spans="1:23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/>
      <c r="P273" s="1"/>
      <c r="Q273" s="1"/>
      <c r="R273" s="1"/>
      <c r="S273" s="1"/>
      <c r="T273" s="1"/>
      <c r="U273" s="1"/>
      <c r="V273" s="1"/>
      <c r="W273" s="1"/>
    </row>
    <row r="274" spans="1:23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/>
      <c r="P274" s="1"/>
      <c r="Q274" s="1"/>
      <c r="R274" s="1"/>
      <c r="S274" s="1"/>
      <c r="T274" s="1"/>
      <c r="U274" s="1"/>
      <c r="V274" s="1"/>
      <c r="W274" s="1"/>
    </row>
    <row r="275" spans="1:23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2"/>
      <c r="P275" s="1"/>
      <c r="Q275" s="1"/>
      <c r="R275" s="1"/>
      <c r="S275" s="1"/>
      <c r="T275" s="1"/>
      <c r="U275" s="1"/>
      <c r="V275" s="1"/>
      <c r="W275" s="1"/>
    </row>
    <row r="276" spans="1:23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2"/>
      <c r="P276" s="1"/>
      <c r="Q276" s="1"/>
      <c r="R276" s="1"/>
      <c r="S276" s="1"/>
      <c r="T276" s="1"/>
      <c r="U276" s="1"/>
      <c r="V276" s="1"/>
      <c r="W276" s="1"/>
    </row>
    <row r="277" spans="1:23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2"/>
      <c r="P277" s="1"/>
      <c r="Q277" s="1"/>
      <c r="R277" s="1"/>
      <c r="S277" s="1"/>
      <c r="T277" s="1"/>
      <c r="U277" s="1"/>
      <c r="V277" s="1"/>
      <c r="W277" s="1"/>
    </row>
    <row r="278" spans="1:23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2"/>
      <c r="P278" s="1"/>
      <c r="Q278" s="1"/>
      <c r="R278" s="1"/>
      <c r="S278" s="1"/>
      <c r="T278" s="1"/>
      <c r="U278" s="1"/>
      <c r="V278" s="1"/>
      <c r="W278" s="1"/>
    </row>
    <row r="279" spans="1:23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2"/>
      <c r="P279" s="1"/>
      <c r="Q279" s="1"/>
      <c r="R279" s="1"/>
      <c r="S279" s="1"/>
      <c r="T279" s="1"/>
      <c r="U279" s="1"/>
      <c r="V279" s="1"/>
      <c r="W279" s="1"/>
    </row>
    <row r="280" spans="1:23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2"/>
      <c r="P280" s="1"/>
      <c r="Q280" s="1"/>
      <c r="R280" s="1"/>
      <c r="S280" s="1"/>
      <c r="T280" s="1"/>
      <c r="U280" s="1"/>
      <c r="V280" s="1"/>
      <c r="W280" s="1"/>
    </row>
    <row r="281" spans="1:23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2"/>
      <c r="P281" s="1"/>
      <c r="Q281" s="1"/>
      <c r="R281" s="1"/>
      <c r="S281" s="1"/>
      <c r="T281" s="1"/>
      <c r="U281" s="1"/>
      <c r="V281" s="1"/>
      <c r="W281" s="1"/>
    </row>
    <row r="282" spans="1:23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2"/>
      <c r="P282" s="1"/>
      <c r="Q282" s="1"/>
      <c r="R282" s="1"/>
      <c r="S282" s="1"/>
      <c r="T282" s="1"/>
      <c r="U282" s="1"/>
      <c r="V282" s="1"/>
      <c r="W282" s="1"/>
    </row>
    <row r="283" spans="1:23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2"/>
      <c r="P283" s="1"/>
      <c r="Q283" s="1"/>
      <c r="R283" s="1"/>
      <c r="S283" s="1"/>
      <c r="T283" s="1"/>
      <c r="U283" s="1"/>
      <c r="V283" s="1"/>
      <c r="W283" s="1"/>
    </row>
    <row r="284" spans="1:23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2"/>
      <c r="P284" s="1"/>
      <c r="Q284" s="1"/>
      <c r="R284" s="1"/>
      <c r="S284" s="1"/>
      <c r="T284" s="1"/>
      <c r="U284" s="1"/>
      <c r="V284" s="1"/>
      <c r="W284" s="1"/>
    </row>
    <row r="285" spans="1:23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/>
      <c r="P285" s="1"/>
      <c r="Q285" s="1"/>
      <c r="R285" s="1"/>
      <c r="S285" s="1"/>
      <c r="T285" s="1"/>
      <c r="U285" s="1"/>
      <c r="V285" s="1"/>
      <c r="W285" s="1"/>
    </row>
    <row r="286" spans="1:23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/>
      <c r="P286" s="1"/>
      <c r="Q286" s="1"/>
      <c r="R286" s="1"/>
      <c r="S286" s="1"/>
      <c r="T286" s="1"/>
      <c r="U286" s="1"/>
      <c r="V286" s="1"/>
      <c r="W286" s="1"/>
    </row>
    <row r="287" spans="1:23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/>
      <c r="P287" s="1"/>
      <c r="Q287" s="1"/>
      <c r="R287" s="1"/>
      <c r="S287" s="1"/>
      <c r="T287" s="1"/>
      <c r="U287" s="1"/>
      <c r="V287" s="1"/>
      <c r="W287" s="1"/>
    </row>
    <row r="288" spans="1:23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/>
      <c r="P288" s="1"/>
      <c r="Q288" s="1"/>
      <c r="R288" s="1"/>
      <c r="S288" s="1"/>
      <c r="T288" s="1"/>
      <c r="U288" s="1"/>
      <c r="V288" s="1"/>
      <c r="W288" s="1"/>
    </row>
    <row r="289" spans="1:23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/>
      <c r="P289" s="1"/>
      <c r="Q289" s="1"/>
      <c r="R289" s="1"/>
      <c r="S289" s="1"/>
      <c r="T289" s="1"/>
      <c r="U289" s="1"/>
      <c r="V289" s="1"/>
      <c r="W289" s="1"/>
    </row>
    <row r="290" spans="1:23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/>
      <c r="P290" s="1"/>
      <c r="Q290" s="1"/>
      <c r="R290" s="1"/>
      <c r="S290" s="1"/>
      <c r="T290" s="1"/>
      <c r="U290" s="1"/>
      <c r="V290" s="1"/>
      <c r="W290" s="1"/>
    </row>
    <row r="291" spans="1:23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/>
      <c r="P291" s="1"/>
      <c r="Q291" s="1"/>
      <c r="R291" s="1"/>
      <c r="S291" s="1"/>
      <c r="T291" s="1"/>
      <c r="U291" s="1"/>
      <c r="V291" s="1"/>
      <c r="W291" s="1"/>
    </row>
    <row r="292" spans="1:23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2"/>
      <c r="P292" s="1"/>
      <c r="Q292" s="1"/>
      <c r="R292" s="1"/>
      <c r="S292" s="1"/>
      <c r="T292" s="1"/>
      <c r="U292" s="1"/>
      <c r="V292" s="1"/>
      <c r="W292" s="1"/>
    </row>
    <row r="293" spans="1:23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2"/>
      <c r="P293" s="1"/>
      <c r="Q293" s="1"/>
      <c r="R293" s="1"/>
      <c r="S293" s="1"/>
      <c r="T293" s="1"/>
      <c r="U293" s="1"/>
      <c r="V293" s="1"/>
      <c r="W293" s="1"/>
    </row>
    <row r="294" spans="1:23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2"/>
      <c r="P294" s="1"/>
      <c r="Q294" s="1"/>
      <c r="R294" s="1"/>
      <c r="S294" s="1"/>
      <c r="T294" s="1"/>
      <c r="U294" s="1"/>
      <c r="V294" s="1"/>
      <c r="W294" s="1"/>
    </row>
    <row r="295" spans="1:23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2"/>
      <c r="P295" s="1"/>
      <c r="Q295" s="1"/>
      <c r="R295" s="1"/>
      <c r="S295" s="1"/>
      <c r="T295" s="1"/>
      <c r="U295" s="1"/>
      <c r="V295" s="1"/>
      <c r="W295" s="1"/>
    </row>
    <row r="296" spans="1:23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2"/>
      <c r="P296" s="1"/>
      <c r="Q296" s="1"/>
      <c r="R296" s="1"/>
      <c r="S296" s="1"/>
      <c r="T296" s="1"/>
      <c r="U296" s="1"/>
      <c r="V296" s="1"/>
      <c r="W296" s="1"/>
    </row>
    <row r="297" spans="1:23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2"/>
      <c r="P297" s="1"/>
      <c r="Q297" s="1"/>
      <c r="R297" s="1"/>
      <c r="S297" s="1"/>
      <c r="T297" s="1"/>
      <c r="U297" s="1"/>
      <c r="V297" s="1"/>
      <c r="W297" s="1"/>
    </row>
    <row r="298" spans="1:23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2"/>
      <c r="P298" s="1"/>
      <c r="Q298" s="1"/>
      <c r="R298" s="1"/>
      <c r="S298" s="1"/>
      <c r="T298" s="1"/>
      <c r="U298" s="1"/>
      <c r="V298" s="1"/>
      <c r="W298" s="1"/>
    </row>
    <row r="299" spans="1:23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2"/>
      <c r="P299" s="1"/>
      <c r="Q299" s="1"/>
      <c r="R299" s="1"/>
      <c r="S299" s="1"/>
      <c r="T299" s="1"/>
      <c r="U299" s="1"/>
      <c r="V299" s="1"/>
      <c r="W299" s="1"/>
    </row>
    <row r="300" spans="1:23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2"/>
      <c r="P300" s="1"/>
      <c r="Q300" s="1"/>
      <c r="R300" s="1"/>
      <c r="S300" s="1"/>
      <c r="T300" s="1"/>
      <c r="U300" s="1"/>
      <c r="V300" s="1"/>
      <c r="W300" s="1"/>
    </row>
    <row r="301" spans="1:23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/>
      <c r="P301" s="1"/>
      <c r="Q301" s="1"/>
      <c r="R301" s="1"/>
      <c r="S301" s="1"/>
      <c r="T301" s="1"/>
      <c r="U301" s="1"/>
      <c r="V301" s="1"/>
      <c r="W301" s="1"/>
    </row>
    <row r="302" spans="1:23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/>
      <c r="P302" s="1"/>
      <c r="Q302" s="1"/>
      <c r="R302" s="1"/>
      <c r="S302" s="1"/>
      <c r="T302" s="1"/>
      <c r="U302" s="1"/>
      <c r="V302" s="1"/>
      <c r="W302" s="1"/>
    </row>
    <row r="303" spans="1:23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/>
      <c r="P303" s="1"/>
      <c r="Q303" s="1"/>
      <c r="R303" s="1"/>
      <c r="S303" s="1"/>
      <c r="T303" s="1"/>
      <c r="U303" s="1"/>
      <c r="V303" s="1"/>
      <c r="W303" s="1"/>
    </row>
    <row r="304" spans="1:23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/>
      <c r="P304" s="1"/>
      <c r="Q304" s="1"/>
      <c r="R304" s="1"/>
      <c r="S304" s="1"/>
      <c r="T304" s="1"/>
      <c r="U304" s="1"/>
      <c r="V304" s="1"/>
      <c r="W304" s="1"/>
    </row>
    <row r="305" spans="1:23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/>
      <c r="P305" s="1"/>
      <c r="Q305" s="1"/>
      <c r="R305" s="1"/>
      <c r="S305" s="1"/>
      <c r="T305" s="1"/>
      <c r="U305" s="1"/>
      <c r="V305" s="1"/>
      <c r="W305" s="1"/>
    </row>
    <row r="306" spans="1:23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/>
      <c r="P306" s="1"/>
      <c r="Q306" s="1"/>
      <c r="R306" s="1"/>
      <c r="S306" s="1"/>
      <c r="T306" s="1"/>
      <c r="U306" s="1"/>
      <c r="V306" s="1"/>
      <c r="W306" s="1"/>
    </row>
    <row r="307" spans="1:23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/>
      <c r="P307" s="1"/>
      <c r="Q307" s="1"/>
      <c r="R307" s="1"/>
      <c r="S307" s="1"/>
      <c r="T307" s="1"/>
      <c r="U307" s="1"/>
      <c r="V307" s="1"/>
      <c r="W307" s="1"/>
    </row>
    <row r="308" spans="1:23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/>
      <c r="P308" s="1"/>
      <c r="Q308" s="1"/>
      <c r="R308" s="1"/>
      <c r="S308" s="1"/>
      <c r="T308" s="1"/>
      <c r="U308" s="1"/>
      <c r="V308" s="1"/>
      <c r="W308" s="1"/>
    </row>
    <row r="309" spans="1:23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2"/>
      <c r="P309" s="1"/>
      <c r="Q309" s="1"/>
      <c r="R309" s="1"/>
      <c r="S309" s="1"/>
      <c r="T309" s="1"/>
      <c r="U309" s="1"/>
      <c r="V309" s="1"/>
      <c r="W309" s="1"/>
    </row>
    <row r="310" spans="1:23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2"/>
      <c r="P310" s="1"/>
      <c r="Q310" s="1"/>
      <c r="R310" s="1"/>
      <c r="S310" s="1"/>
      <c r="T310" s="1"/>
      <c r="U310" s="1"/>
      <c r="V310" s="1"/>
      <c r="W310" s="1"/>
    </row>
    <row r="311" spans="1:23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2"/>
      <c r="P311" s="1"/>
      <c r="Q311" s="1"/>
      <c r="R311" s="1"/>
      <c r="S311" s="1"/>
      <c r="T311" s="1"/>
      <c r="U311" s="1"/>
      <c r="V311" s="1"/>
      <c r="W311" s="1"/>
    </row>
    <row r="312" spans="1:23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2"/>
      <c r="P312" s="1"/>
      <c r="Q312" s="1"/>
      <c r="R312" s="1"/>
      <c r="S312" s="1"/>
      <c r="T312" s="1"/>
      <c r="U312" s="1"/>
      <c r="V312" s="1"/>
      <c r="W312" s="1"/>
    </row>
    <row r="313" spans="1:23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2"/>
      <c r="P313" s="1"/>
      <c r="Q313" s="1"/>
      <c r="R313" s="1"/>
      <c r="S313" s="1"/>
      <c r="T313" s="1"/>
      <c r="U313" s="1"/>
      <c r="V313" s="1"/>
      <c r="W313" s="1"/>
    </row>
    <row r="314" spans="1:23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2"/>
      <c r="P314" s="1"/>
      <c r="Q314" s="1"/>
      <c r="R314" s="1"/>
      <c r="S314" s="1"/>
      <c r="T314" s="1"/>
      <c r="U314" s="1"/>
      <c r="V314" s="1"/>
      <c r="W314" s="1"/>
    </row>
    <row r="315" spans="1:23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2"/>
      <c r="P315" s="1"/>
      <c r="Q315" s="1"/>
      <c r="R315" s="1"/>
      <c r="S315" s="1"/>
      <c r="T315" s="1"/>
      <c r="U315" s="1"/>
      <c r="V315" s="1"/>
      <c r="W315" s="1"/>
    </row>
    <row r="316" spans="1:23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2"/>
      <c r="P316" s="1"/>
      <c r="Q316" s="1"/>
      <c r="R316" s="1"/>
      <c r="S316" s="1"/>
      <c r="T316" s="1"/>
      <c r="U316" s="1"/>
      <c r="V316" s="1"/>
      <c r="W316" s="1"/>
    </row>
    <row r="317" spans="1:23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2"/>
      <c r="P317" s="1"/>
      <c r="Q317" s="1"/>
      <c r="R317" s="1"/>
      <c r="S317" s="1"/>
      <c r="T317" s="1"/>
      <c r="U317" s="1"/>
      <c r="V317" s="1"/>
      <c r="W317" s="1"/>
    </row>
    <row r="318" spans="1:23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/>
      <c r="P318" s="1"/>
      <c r="Q318" s="1"/>
      <c r="R318" s="1"/>
      <c r="S318" s="1"/>
      <c r="T318" s="1"/>
      <c r="U318" s="1"/>
      <c r="V318" s="1"/>
      <c r="W318" s="1"/>
    </row>
    <row r="319" spans="1:23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/>
      <c r="P319" s="1"/>
      <c r="Q319" s="1"/>
      <c r="R319" s="1"/>
      <c r="S319" s="1"/>
      <c r="T319" s="1"/>
      <c r="U319" s="1"/>
      <c r="V319" s="1"/>
      <c r="W319" s="1"/>
    </row>
    <row r="320" spans="1:23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/>
      <c r="P320" s="1"/>
      <c r="Q320" s="1"/>
      <c r="R320" s="1"/>
      <c r="S320" s="1"/>
      <c r="T320" s="1"/>
      <c r="U320" s="1"/>
      <c r="V320" s="1"/>
      <c r="W320" s="1"/>
    </row>
    <row r="321" spans="1:23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/>
      <c r="P321" s="1"/>
      <c r="Q321" s="1"/>
      <c r="R321" s="1"/>
      <c r="S321" s="1"/>
      <c r="T321" s="1"/>
      <c r="U321" s="1"/>
      <c r="V321" s="1"/>
      <c r="W321" s="1"/>
    </row>
    <row r="322" spans="1:23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/>
      <c r="P322" s="1"/>
      <c r="Q322" s="1"/>
      <c r="R322" s="1"/>
      <c r="S322" s="1"/>
      <c r="T322" s="1"/>
      <c r="U322" s="1"/>
      <c r="V322" s="1"/>
      <c r="W322" s="1"/>
    </row>
    <row r="323" spans="1:23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/>
      <c r="P323" s="1"/>
      <c r="Q323" s="1"/>
      <c r="R323" s="1"/>
      <c r="S323" s="1"/>
      <c r="T323" s="1"/>
      <c r="U323" s="1"/>
      <c r="V323" s="1"/>
      <c r="W323" s="1"/>
    </row>
    <row r="324" spans="1:23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/>
      <c r="P324" s="1"/>
      <c r="Q324" s="1"/>
      <c r="R324" s="1"/>
      <c r="S324" s="1"/>
      <c r="T324" s="1"/>
      <c r="U324" s="1"/>
      <c r="V324" s="1"/>
      <c r="W324" s="1"/>
    </row>
    <row r="325" spans="1:23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/>
      <c r="P325" s="1"/>
      <c r="Q325" s="1"/>
      <c r="R325" s="1"/>
      <c r="S325" s="1"/>
      <c r="T325" s="1"/>
      <c r="U325" s="1"/>
      <c r="V325" s="1"/>
      <c r="W325" s="1"/>
    </row>
    <row r="326" spans="1:23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2"/>
      <c r="P326" s="1"/>
      <c r="Q326" s="1"/>
      <c r="R326" s="1"/>
      <c r="S326" s="1"/>
      <c r="T326" s="1"/>
      <c r="U326" s="1"/>
      <c r="V326" s="1"/>
      <c r="W326" s="1"/>
    </row>
    <row r="327" spans="1:23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2"/>
      <c r="P327" s="1"/>
      <c r="Q327" s="1"/>
      <c r="R327" s="1"/>
      <c r="S327" s="1"/>
      <c r="T327" s="1"/>
      <c r="U327" s="1"/>
      <c r="V327" s="1"/>
      <c r="W327" s="1"/>
    </row>
    <row r="328" spans="1:23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2"/>
      <c r="P328" s="1"/>
      <c r="Q328" s="1"/>
      <c r="R328" s="1"/>
      <c r="S328" s="1"/>
      <c r="T328" s="1"/>
      <c r="U328" s="1"/>
      <c r="V328" s="1"/>
      <c r="W328" s="1"/>
    </row>
    <row r="329" spans="1:23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2"/>
      <c r="P329" s="1"/>
      <c r="Q329" s="1"/>
      <c r="R329" s="1"/>
      <c r="S329" s="1"/>
      <c r="T329" s="1"/>
      <c r="U329" s="1"/>
      <c r="V329" s="1"/>
      <c r="W329" s="1"/>
    </row>
    <row r="330" spans="1:23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2"/>
      <c r="P330" s="1"/>
      <c r="Q330" s="1"/>
      <c r="R330" s="1"/>
      <c r="S330" s="1"/>
      <c r="T330" s="1"/>
      <c r="U330" s="1"/>
      <c r="V330" s="1"/>
      <c r="W330" s="1"/>
    </row>
    <row r="331" spans="1:23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2"/>
      <c r="P331" s="1"/>
      <c r="Q331" s="1"/>
      <c r="R331" s="1"/>
      <c r="S331" s="1"/>
      <c r="T331" s="1"/>
      <c r="U331" s="1"/>
      <c r="V331" s="1"/>
      <c r="W331" s="1"/>
    </row>
    <row r="332" spans="1:23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2"/>
      <c r="P332" s="1"/>
      <c r="Q332" s="1"/>
      <c r="R332" s="1"/>
      <c r="S332" s="1"/>
      <c r="T332" s="1"/>
      <c r="U332" s="1"/>
      <c r="V332" s="1"/>
      <c r="W332" s="1"/>
    </row>
    <row r="333" spans="1:23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2"/>
      <c r="P333" s="1"/>
      <c r="Q333" s="1"/>
      <c r="R333" s="1"/>
      <c r="S333" s="1"/>
      <c r="T333" s="1"/>
      <c r="U333" s="1"/>
      <c r="V333" s="1"/>
      <c r="W333" s="1"/>
    </row>
    <row r="334" spans="1:23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2"/>
      <c r="P334" s="1"/>
      <c r="Q334" s="1"/>
      <c r="R334" s="1"/>
      <c r="S334" s="1"/>
      <c r="T334" s="1"/>
      <c r="U334" s="1"/>
      <c r="V334" s="1"/>
      <c r="W334" s="1"/>
    </row>
    <row r="335" spans="1:23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2"/>
      <c r="P335" s="1"/>
      <c r="Q335" s="1"/>
      <c r="R335" s="1"/>
      <c r="S335" s="1"/>
      <c r="T335" s="1"/>
      <c r="U335" s="1"/>
      <c r="V335" s="1"/>
      <c r="W335" s="1"/>
    </row>
    <row r="336" spans="1:23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2"/>
      <c r="P336" s="1"/>
      <c r="Q336" s="1"/>
      <c r="R336" s="1"/>
      <c r="S336" s="1"/>
      <c r="T336" s="1"/>
      <c r="U336" s="1"/>
      <c r="V336" s="1"/>
      <c r="W336" s="1"/>
    </row>
    <row r="337" spans="1:23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2"/>
      <c r="P337" s="1"/>
      <c r="Q337" s="1"/>
      <c r="R337" s="1"/>
      <c r="S337" s="1"/>
      <c r="T337" s="1"/>
      <c r="U337" s="1"/>
      <c r="V337" s="1"/>
      <c r="W337" s="1"/>
    </row>
    <row r="338" spans="1:23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/>
      <c r="P338" s="1"/>
      <c r="Q338" s="1"/>
      <c r="R338" s="1"/>
      <c r="S338" s="1"/>
      <c r="T338" s="1"/>
      <c r="U338" s="1"/>
      <c r="V338" s="1"/>
      <c r="W338" s="1"/>
    </row>
    <row r="339" spans="1:23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/>
      <c r="P339" s="1"/>
      <c r="Q339" s="1"/>
      <c r="R339" s="1"/>
      <c r="S339" s="1"/>
      <c r="T339" s="1"/>
      <c r="U339" s="1"/>
      <c r="V339" s="1"/>
      <c r="W339" s="1"/>
    </row>
    <row r="340" spans="1:23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/>
      <c r="P340" s="1"/>
      <c r="Q340" s="1"/>
      <c r="R340" s="1"/>
      <c r="S340" s="1"/>
      <c r="T340" s="1"/>
      <c r="U340" s="1"/>
      <c r="V340" s="1"/>
      <c r="W340" s="1"/>
    </row>
    <row r="341" spans="1:23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/>
      <c r="P341" s="1"/>
      <c r="Q341" s="1"/>
      <c r="R341" s="1"/>
      <c r="S341" s="1"/>
      <c r="T341" s="1"/>
      <c r="U341" s="1"/>
      <c r="V341" s="1"/>
      <c r="W341" s="1"/>
    </row>
    <row r="342" spans="1:23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/>
      <c r="P342" s="1"/>
      <c r="Q342" s="1"/>
      <c r="R342" s="1"/>
      <c r="S342" s="1"/>
      <c r="T342" s="1"/>
      <c r="U342" s="1"/>
      <c r="V342" s="1"/>
      <c r="W342" s="1"/>
    </row>
    <row r="343" spans="1:23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2"/>
      <c r="P343" s="1"/>
      <c r="Q343" s="1"/>
      <c r="R343" s="1"/>
      <c r="S343" s="1"/>
      <c r="T343" s="1"/>
      <c r="U343" s="1"/>
      <c r="V343" s="1"/>
      <c r="W343" s="1"/>
    </row>
    <row r="344" spans="1:23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2"/>
      <c r="P344" s="1"/>
      <c r="Q344" s="1"/>
      <c r="R344" s="1"/>
      <c r="S344" s="1"/>
      <c r="T344" s="1"/>
      <c r="U344" s="1"/>
      <c r="V344" s="1"/>
      <c r="W344" s="1"/>
    </row>
    <row r="345" spans="1:23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2"/>
      <c r="P345" s="1"/>
      <c r="Q345" s="1"/>
      <c r="R345" s="1"/>
      <c r="S345" s="1"/>
      <c r="T345" s="1"/>
      <c r="U345" s="1"/>
      <c r="V345" s="1"/>
      <c r="W345" s="1"/>
    </row>
    <row r="346" spans="1:23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2"/>
      <c r="P346" s="1"/>
      <c r="Q346" s="1"/>
      <c r="R346" s="1"/>
      <c r="S346" s="1"/>
      <c r="T346" s="1"/>
      <c r="U346" s="1"/>
      <c r="V346" s="1"/>
      <c r="W346" s="1"/>
    </row>
    <row r="347" spans="1:23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2"/>
      <c r="P347" s="1"/>
      <c r="Q347" s="1"/>
      <c r="R347" s="1"/>
      <c r="S347" s="1"/>
      <c r="T347" s="1"/>
      <c r="U347" s="1"/>
      <c r="V347" s="1"/>
      <c r="W347" s="1"/>
    </row>
    <row r="348" spans="1:23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2"/>
      <c r="P348" s="1"/>
      <c r="Q348" s="1"/>
      <c r="R348" s="1"/>
      <c r="S348" s="1"/>
      <c r="T348" s="1"/>
      <c r="U348" s="1"/>
      <c r="V348" s="1"/>
      <c r="W348" s="1"/>
    </row>
    <row r="349" spans="1:23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2"/>
      <c r="P349" s="1"/>
      <c r="Q349" s="1"/>
      <c r="R349" s="1"/>
      <c r="S349" s="1"/>
      <c r="T349" s="1"/>
      <c r="U349" s="1"/>
      <c r="V349" s="1"/>
      <c r="W349" s="1"/>
    </row>
    <row r="350" spans="1:23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2"/>
      <c r="P350" s="1"/>
      <c r="Q350" s="1"/>
      <c r="R350" s="1"/>
      <c r="S350" s="1"/>
      <c r="T350" s="1"/>
      <c r="U350" s="1"/>
      <c r="V350" s="1"/>
      <c r="W350" s="1"/>
    </row>
    <row r="351" spans="1:23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2"/>
      <c r="P351" s="1"/>
      <c r="Q351" s="1"/>
      <c r="R351" s="1"/>
      <c r="S351" s="1"/>
      <c r="T351" s="1"/>
      <c r="U351" s="1"/>
      <c r="V351" s="1"/>
      <c r="W351" s="1"/>
    </row>
    <row r="352" spans="1:23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/>
      <c r="P352" s="1"/>
      <c r="Q352" s="1"/>
      <c r="R352" s="1"/>
      <c r="S352" s="1"/>
      <c r="T352" s="1"/>
      <c r="U352" s="1"/>
      <c r="V352" s="1"/>
      <c r="W352" s="1"/>
    </row>
    <row r="353" spans="1:23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/>
      <c r="P353" s="1"/>
      <c r="Q353" s="1"/>
      <c r="R353" s="1"/>
      <c r="S353" s="1"/>
      <c r="T353" s="1"/>
      <c r="U353" s="1"/>
      <c r="V353" s="1"/>
      <c r="W353" s="1"/>
    </row>
    <row r="354" spans="1:23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/>
      <c r="P354" s="1"/>
      <c r="Q354" s="1"/>
      <c r="R354" s="1"/>
      <c r="S354" s="1"/>
      <c r="T354" s="1"/>
      <c r="U354" s="1"/>
      <c r="V354" s="1"/>
      <c r="W354" s="1"/>
    </row>
    <row r="355" spans="1:23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/>
      <c r="P355" s="1"/>
      <c r="Q355" s="1"/>
      <c r="R355" s="1"/>
      <c r="S355" s="1"/>
      <c r="T355" s="1"/>
      <c r="U355" s="1"/>
      <c r="V355" s="1"/>
      <c r="W355" s="1"/>
    </row>
    <row r="356" spans="1:23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/>
      <c r="P356" s="1"/>
      <c r="Q356" s="1"/>
      <c r="R356" s="1"/>
      <c r="S356" s="1"/>
      <c r="T356" s="1"/>
      <c r="U356" s="1"/>
      <c r="V356" s="1"/>
      <c r="W356" s="1"/>
    </row>
    <row r="357" spans="1:23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/>
      <c r="P357" s="1"/>
      <c r="Q357" s="1"/>
      <c r="R357" s="1"/>
      <c r="S357" s="1"/>
      <c r="T357" s="1"/>
      <c r="U357" s="1"/>
      <c r="V357" s="1"/>
      <c r="W357" s="1"/>
    </row>
    <row r="358" spans="1:23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/>
      <c r="P358" s="1"/>
      <c r="Q358" s="1"/>
      <c r="R358" s="1"/>
      <c r="S358" s="1"/>
      <c r="T358" s="1"/>
      <c r="U358" s="1"/>
      <c r="V358" s="1"/>
      <c r="W358" s="1"/>
    </row>
    <row r="359" spans="1:23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/>
      <c r="P359" s="1"/>
      <c r="Q359" s="1"/>
      <c r="R359" s="1"/>
      <c r="S359" s="1"/>
      <c r="T359" s="1"/>
      <c r="U359" s="1"/>
      <c r="V359" s="1"/>
      <c r="W359" s="1"/>
    </row>
    <row r="360" spans="1:23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2"/>
      <c r="P360" s="1"/>
      <c r="Q360" s="1"/>
      <c r="R360" s="1"/>
      <c r="S360" s="1"/>
      <c r="T360" s="1"/>
      <c r="U360" s="1"/>
      <c r="V360" s="1"/>
      <c r="W360" s="1"/>
    </row>
    <row r="361" spans="1:23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2"/>
      <c r="P361" s="1"/>
      <c r="Q361" s="1"/>
      <c r="R361" s="1"/>
      <c r="S361" s="1"/>
      <c r="T361" s="1"/>
      <c r="U361" s="1"/>
      <c r="V361" s="1"/>
      <c r="W361" s="1"/>
    </row>
    <row r="362" spans="1:23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2"/>
      <c r="P362" s="1"/>
      <c r="Q362" s="1"/>
      <c r="R362" s="1"/>
      <c r="S362" s="1"/>
      <c r="T362" s="1"/>
      <c r="U362" s="1"/>
      <c r="V362" s="1"/>
      <c r="W362" s="1"/>
    </row>
    <row r="363" spans="1:23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2"/>
      <c r="P363" s="1"/>
      <c r="Q363" s="1"/>
      <c r="R363" s="1"/>
      <c r="S363" s="1"/>
      <c r="T363" s="1"/>
      <c r="U363" s="1"/>
      <c r="V363" s="1"/>
      <c r="W363" s="1"/>
    </row>
    <row r="364" spans="1:23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2"/>
      <c r="P364" s="1"/>
      <c r="Q364" s="1"/>
      <c r="R364" s="1"/>
      <c r="S364" s="1"/>
      <c r="T364" s="1"/>
      <c r="U364" s="1"/>
      <c r="V364" s="1"/>
      <c r="W364" s="1"/>
    </row>
    <row r="365" spans="1:23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2"/>
      <c r="P365" s="1"/>
      <c r="Q365" s="1"/>
      <c r="R365" s="1"/>
      <c r="S365" s="1"/>
      <c r="T365" s="1"/>
      <c r="U365" s="1"/>
      <c r="V365" s="1"/>
      <c r="W365" s="1"/>
    </row>
    <row r="366" spans="1:23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2"/>
      <c r="P366" s="1"/>
      <c r="Q366" s="1"/>
      <c r="R366" s="1"/>
      <c r="S366" s="1"/>
      <c r="T366" s="1"/>
      <c r="U366" s="1"/>
      <c r="V366" s="1"/>
      <c r="W366" s="1"/>
    </row>
    <row r="367" spans="1:23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2"/>
      <c r="P367" s="1"/>
      <c r="Q367" s="1"/>
      <c r="R367" s="1"/>
      <c r="S367" s="1"/>
      <c r="T367" s="1"/>
      <c r="U367" s="1"/>
      <c r="V367" s="1"/>
      <c r="W367" s="1"/>
    </row>
    <row r="368" spans="1:23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2"/>
      <c r="P368" s="1"/>
      <c r="Q368" s="1"/>
      <c r="R368" s="1"/>
      <c r="S368" s="1"/>
      <c r="T368" s="1"/>
      <c r="U368" s="1"/>
      <c r="V368" s="1"/>
      <c r="W368" s="1"/>
    </row>
    <row r="369" spans="1:23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2"/>
      <c r="P369" s="1"/>
      <c r="Q369" s="1"/>
      <c r="R369" s="1"/>
      <c r="S369" s="1"/>
      <c r="T369" s="1"/>
      <c r="U369" s="1"/>
      <c r="V369" s="1"/>
      <c r="W369" s="1"/>
    </row>
    <row r="370" spans="1:23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2"/>
      <c r="P370" s="1"/>
      <c r="Q370" s="1"/>
      <c r="R370" s="1"/>
      <c r="S370" s="1"/>
      <c r="T370" s="1"/>
      <c r="U370" s="1"/>
      <c r="V370" s="1"/>
      <c r="W370" s="1"/>
    </row>
    <row r="371" spans="1:23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2"/>
      <c r="P371" s="1"/>
      <c r="Q371" s="1"/>
      <c r="R371" s="1"/>
      <c r="S371" s="1"/>
      <c r="T371" s="1"/>
      <c r="U371" s="1"/>
      <c r="V371" s="1"/>
      <c r="W371" s="1"/>
    </row>
    <row r="372" spans="1:23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/>
      <c r="P372" s="1"/>
      <c r="Q372" s="1"/>
      <c r="R372" s="1"/>
      <c r="S372" s="1"/>
      <c r="T372" s="1"/>
      <c r="U372" s="1"/>
      <c r="V372" s="1"/>
      <c r="W372" s="1"/>
    </row>
    <row r="373" spans="1:23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/>
      <c r="P373" s="1"/>
      <c r="Q373" s="1"/>
      <c r="R373" s="1"/>
      <c r="S373" s="1"/>
      <c r="T373" s="1"/>
      <c r="U373" s="1"/>
      <c r="V373" s="1"/>
      <c r="W373" s="1"/>
    </row>
    <row r="374" spans="1:23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/>
      <c r="P374" s="1"/>
      <c r="Q374" s="1"/>
      <c r="R374" s="1"/>
      <c r="S374" s="1"/>
      <c r="T374" s="1"/>
      <c r="U374" s="1"/>
      <c r="V374" s="1"/>
      <c r="W374" s="1"/>
    </row>
    <row r="375" spans="1:23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/>
      <c r="P375" s="1"/>
      <c r="Q375" s="1"/>
      <c r="R375" s="1"/>
      <c r="S375" s="1"/>
      <c r="T375" s="1"/>
      <c r="U375" s="1"/>
      <c r="V375" s="1"/>
      <c r="W375" s="1"/>
    </row>
    <row r="376" spans="1:23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/>
      <c r="P376" s="1"/>
      <c r="Q376" s="1"/>
      <c r="R376" s="1"/>
      <c r="S376" s="1"/>
      <c r="T376" s="1"/>
      <c r="U376" s="1"/>
      <c r="V376" s="1"/>
      <c r="W376" s="1"/>
    </row>
    <row r="377" spans="1:23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2"/>
      <c r="P377" s="1"/>
      <c r="Q377" s="1"/>
      <c r="R377" s="1"/>
      <c r="S377" s="1"/>
      <c r="T377" s="1"/>
      <c r="U377" s="1"/>
      <c r="V377" s="1"/>
      <c r="W377" s="1"/>
    </row>
    <row r="378" spans="1:23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2"/>
      <c r="P378" s="1"/>
      <c r="Q378" s="1"/>
      <c r="R378" s="1"/>
      <c r="S378" s="1"/>
      <c r="T378" s="1"/>
      <c r="U378" s="1"/>
      <c r="V378" s="1"/>
      <c r="W378" s="1"/>
    </row>
    <row r="379" spans="1:23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2"/>
      <c r="P379" s="1"/>
      <c r="Q379" s="1"/>
      <c r="R379" s="1"/>
      <c r="S379" s="1"/>
      <c r="T379" s="1"/>
      <c r="U379" s="1"/>
      <c r="V379" s="1"/>
      <c r="W379" s="1"/>
    </row>
    <row r="380" spans="1:23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2"/>
      <c r="P380" s="1"/>
      <c r="Q380" s="1"/>
      <c r="R380" s="1"/>
      <c r="S380" s="1"/>
      <c r="T380" s="1"/>
      <c r="U380" s="1"/>
      <c r="V380" s="1"/>
      <c r="W380" s="1"/>
    </row>
    <row r="381" spans="1:23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2"/>
      <c r="P381" s="1"/>
      <c r="Q381" s="1"/>
      <c r="R381" s="1"/>
      <c r="S381" s="1"/>
      <c r="T381" s="1"/>
      <c r="U381" s="1"/>
      <c r="V381" s="1"/>
      <c r="W381" s="1"/>
    </row>
    <row r="382" spans="1:23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2"/>
      <c r="P382" s="1"/>
      <c r="Q382" s="1"/>
      <c r="R382" s="1"/>
      <c r="S382" s="1"/>
      <c r="T382" s="1"/>
      <c r="U382" s="1"/>
      <c r="V382" s="1"/>
      <c r="W382" s="1"/>
    </row>
    <row r="383" spans="1:23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2"/>
      <c r="P383" s="1"/>
      <c r="Q383" s="1"/>
      <c r="R383" s="1"/>
      <c r="S383" s="1"/>
      <c r="T383" s="1"/>
      <c r="U383" s="1"/>
      <c r="V383" s="1"/>
      <c r="W383" s="1"/>
    </row>
    <row r="384" spans="1:23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2"/>
      <c r="P384" s="1"/>
      <c r="Q384" s="1"/>
      <c r="R384" s="1"/>
      <c r="S384" s="1"/>
      <c r="T384" s="1"/>
      <c r="U384" s="1"/>
      <c r="V384" s="1"/>
      <c r="W384" s="1"/>
    </row>
    <row r="385" spans="1:23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2"/>
      <c r="P385" s="1"/>
      <c r="Q385" s="1"/>
      <c r="R385" s="1"/>
      <c r="S385" s="1"/>
      <c r="T385" s="1"/>
      <c r="U385" s="1"/>
      <c r="V385" s="1"/>
      <c r="W385" s="1"/>
    </row>
    <row r="386" spans="1:23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2"/>
      <c r="P386" s="1"/>
      <c r="Q386" s="1"/>
      <c r="R386" s="1"/>
      <c r="S386" s="1"/>
      <c r="T386" s="1"/>
      <c r="U386" s="1"/>
      <c r="V386" s="1"/>
      <c r="W386" s="1"/>
    </row>
    <row r="387" spans="1:23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2"/>
      <c r="P387" s="1"/>
      <c r="Q387" s="1"/>
      <c r="R387" s="1"/>
      <c r="S387" s="1"/>
      <c r="T387" s="1"/>
      <c r="U387" s="1"/>
      <c r="V387" s="1"/>
      <c r="W387" s="1"/>
    </row>
    <row r="388" spans="1:23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/>
      <c r="P388" s="1"/>
      <c r="Q388" s="1"/>
      <c r="R388" s="1"/>
      <c r="S388" s="1"/>
      <c r="T388" s="1"/>
      <c r="U388" s="1"/>
      <c r="V388" s="1"/>
      <c r="W388" s="1"/>
    </row>
    <row r="389" spans="1:23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/>
      <c r="P389" s="1"/>
      <c r="Q389" s="1"/>
      <c r="R389" s="1"/>
      <c r="S389" s="1"/>
      <c r="T389" s="1"/>
      <c r="U389" s="1"/>
      <c r="V389" s="1"/>
      <c r="W389" s="1"/>
    </row>
    <row r="390" spans="1:23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/>
      <c r="P390" s="1"/>
      <c r="Q390" s="1"/>
      <c r="R390" s="1"/>
      <c r="S390" s="1"/>
      <c r="T390" s="1"/>
      <c r="U390" s="1"/>
      <c r="V390" s="1"/>
      <c r="W390" s="1"/>
    </row>
    <row r="391" spans="1:23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/>
      <c r="P391" s="1"/>
      <c r="Q391" s="1"/>
      <c r="R391" s="1"/>
      <c r="S391" s="1"/>
      <c r="T391" s="1"/>
      <c r="U391" s="1"/>
      <c r="V391" s="1"/>
      <c r="W391" s="1"/>
    </row>
    <row r="392" spans="1:23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/>
      <c r="P392" s="1"/>
      <c r="Q392" s="1"/>
      <c r="R392" s="1"/>
      <c r="S392" s="1"/>
      <c r="T392" s="1"/>
      <c r="U392" s="1"/>
      <c r="V392" s="1"/>
      <c r="W392" s="1"/>
    </row>
    <row r="393" spans="1:23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/>
      <c r="P393" s="1"/>
      <c r="Q393" s="1"/>
      <c r="R393" s="1"/>
      <c r="S393" s="1"/>
      <c r="T393" s="1"/>
      <c r="U393" s="1"/>
      <c r="V393" s="1"/>
      <c r="W393" s="1"/>
    </row>
    <row r="394" spans="1:23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2"/>
      <c r="P394" s="1"/>
      <c r="Q394" s="1"/>
      <c r="R394" s="1"/>
      <c r="S394" s="1"/>
      <c r="T394" s="1"/>
      <c r="U394" s="1"/>
      <c r="V394" s="1"/>
      <c r="W394" s="1"/>
    </row>
    <row r="395" spans="1:23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2"/>
      <c r="P395" s="1"/>
      <c r="Q395" s="1"/>
      <c r="R395" s="1"/>
      <c r="S395" s="1"/>
      <c r="T395" s="1"/>
      <c r="U395" s="1"/>
      <c r="V395" s="1"/>
      <c r="W395" s="1"/>
    </row>
    <row r="396" spans="1:23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2"/>
      <c r="P396" s="1"/>
      <c r="Q396" s="1"/>
      <c r="R396" s="1"/>
      <c r="S396" s="1"/>
      <c r="T396" s="1"/>
      <c r="U396" s="1"/>
      <c r="V396" s="1"/>
      <c r="W396" s="1"/>
    </row>
    <row r="397" spans="1:23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2"/>
      <c r="P397" s="1"/>
      <c r="Q397" s="1"/>
      <c r="R397" s="1"/>
      <c r="S397" s="1"/>
      <c r="T397" s="1"/>
      <c r="U397" s="1"/>
      <c r="V397" s="1"/>
      <c r="W397" s="1"/>
    </row>
    <row r="398" spans="1:23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2"/>
      <c r="P398" s="1"/>
      <c r="Q398" s="1"/>
      <c r="R398" s="1"/>
      <c r="S398" s="1"/>
      <c r="T398" s="1"/>
      <c r="U398" s="1"/>
      <c r="V398" s="1"/>
      <c r="W398" s="1"/>
    </row>
    <row r="399" spans="1:23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2"/>
      <c r="P399" s="1"/>
      <c r="Q399" s="1"/>
      <c r="R399" s="1"/>
      <c r="S399" s="1"/>
      <c r="T399" s="1"/>
      <c r="U399" s="1"/>
      <c r="V399" s="1"/>
      <c r="W399" s="1"/>
    </row>
    <row r="400" spans="1:23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2"/>
      <c r="P400" s="1"/>
      <c r="Q400" s="1"/>
      <c r="R400" s="1"/>
      <c r="S400" s="1"/>
      <c r="T400" s="1"/>
      <c r="U400" s="1"/>
      <c r="V400" s="1"/>
      <c r="W400" s="1"/>
    </row>
    <row r="401" spans="1:23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2"/>
      <c r="P401" s="1"/>
      <c r="Q401" s="1"/>
      <c r="R401" s="1"/>
      <c r="S401" s="1"/>
      <c r="T401" s="1"/>
      <c r="U401" s="1"/>
      <c r="V401" s="1"/>
      <c r="W401" s="1"/>
    </row>
    <row r="402" spans="1:23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2"/>
      <c r="P402" s="1"/>
      <c r="Q402" s="1"/>
      <c r="R402" s="1"/>
      <c r="S402" s="1"/>
      <c r="T402" s="1"/>
      <c r="U402" s="1"/>
      <c r="V402" s="1"/>
      <c r="W402" s="1"/>
    </row>
    <row r="403" spans="1:23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/>
      <c r="P403" s="1"/>
      <c r="Q403" s="1"/>
      <c r="R403" s="1"/>
      <c r="S403" s="1"/>
      <c r="T403" s="1"/>
      <c r="U403" s="1"/>
      <c r="V403" s="1"/>
      <c r="W403" s="1"/>
    </row>
    <row r="404" spans="1:23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/>
      <c r="P404" s="1"/>
      <c r="Q404" s="1"/>
      <c r="R404" s="1"/>
      <c r="S404" s="1"/>
      <c r="T404" s="1"/>
      <c r="U404" s="1"/>
      <c r="V404" s="1"/>
      <c r="W404" s="1"/>
    </row>
    <row r="405" spans="1:23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/>
      <c r="P405" s="1"/>
      <c r="Q405" s="1"/>
      <c r="R405" s="1"/>
      <c r="S405" s="1"/>
      <c r="T405" s="1"/>
      <c r="U405" s="1"/>
      <c r="V405" s="1"/>
      <c r="W405" s="1"/>
    </row>
    <row r="406" spans="1:23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/>
      <c r="P406" s="1"/>
      <c r="Q406" s="1"/>
      <c r="R406" s="1"/>
      <c r="S406" s="1"/>
      <c r="T406" s="1"/>
      <c r="U406" s="1"/>
      <c r="V406" s="1"/>
      <c r="W406" s="1"/>
    </row>
    <row r="407" spans="1:23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/>
      <c r="P407" s="1"/>
      <c r="Q407" s="1"/>
      <c r="R407" s="1"/>
      <c r="S407" s="1"/>
      <c r="T407" s="1"/>
      <c r="U407" s="1"/>
      <c r="V407" s="1"/>
      <c r="W407" s="1"/>
    </row>
    <row r="408" spans="1:23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/>
      <c r="P408" s="1"/>
      <c r="Q408" s="1"/>
      <c r="R408" s="1"/>
      <c r="S408" s="1"/>
      <c r="T408" s="1"/>
      <c r="U408" s="1"/>
      <c r="V408" s="1"/>
      <c r="W408" s="1"/>
    </row>
    <row r="409" spans="1:23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/>
      <c r="P409" s="1"/>
      <c r="Q409" s="1"/>
      <c r="R409" s="1"/>
      <c r="S409" s="1"/>
      <c r="T409" s="1"/>
      <c r="U409" s="1"/>
      <c r="V409" s="1"/>
      <c r="W409" s="1"/>
    </row>
    <row r="410" spans="1:23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/>
      <c r="P410" s="1"/>
      <c r="Q410" s="1"/>
      <c r="R410" s="1"/>
      <c r="S410" s="1"/>
      <c r="T410" s="1"/>
      <c r="U410" s="1"/>
      <c r="V410" s="1"/>
      <c r="W410" s="1"/>
    </row>
    <row r="411" spans="1:23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2"/>
      <c r="P411" s="1"/>
      <c r="Q411" s="1"/>
      <c r="R411" s="1"/>
      <c r="S411" s="1"/>
      <c r="T411" s="1"/>
      <c r="U411" s="1"/>
      <c r="V411" s="1"/>
      <c r="W411" s="1"/>
    </row>
    <row r="412" spans="1:23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2"/>
      <c r="P412" s="1"/>
      <c r="Q412" s="1"/>
      <c r="R412" s="1"/>
      <c r="S412" s="1"/>
      <c r="T412" s="1"/>
      <c r="U412" s="1"/>
      <c r="V412" s="1"/>
      <c r="W412" s="1"/>
    </row>
    <row r="413" spans="1:23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2"/>
      <c r="P413" s="1"/>
      <c r="Q413" s="1"/>
      <c r="R413" s="1"/>
      <c r="S413" s="1"/>
      <c r="T413" s="1"/>
      <c r="U413" s="1"/>
      <c r="V413" s="1"/>
      <c r="W413" s="1"/>
    </row>
    <row r="414" spans="1:23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2"/>
      <c r="P414" s="1"/>
      <c r="Q414" s="1"/>
      <c r="R414" s="1"/>
      <c r="S414" s="1"/>
      <c r="T414" s="1"/>
      <c r="U414" s="1"/>
      <c r="V414" s="1"/>
      <c r="W414" s="1"/>
    </row>
    <row r="415" spans="1:23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2"/>
      <c r="P415" s="1"/>
      <c r="Q415" s="1"/>
      <c r="R415" s="1"/>
      <c r="S415" s="1"/>
      <c r="T415" s="1"/>
      <c r="U415" s="1"/>
      <c r="V415" s="1"/>
      <c r="W415" s="1"/>
    </row>
    <row r="416" spans="1:23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2"/>
      <c r="P416" s="1"/>
      <c r="Q416" s="1"/>
      <c r="R416" s="1"/>
      <c r="S416" s="1"/>
      <c r="T416" s="1"/>
      <c r="U416" s="1"/>
      <c r="V416" s="1"/>
      <c r="W416" s="1"/>
    </row>
    <row r="417" spans="1:23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2"/>
      <c r="P417" s="1"/>
      <c r="Q417" s="1"/>
      <c r="R417" s="1"/>
      <c r="S417" s="1"/>
      <c r="T417" s="1"/>
      <c r="U417" s="1"/>
      <c r="V417" s="1"/>
      <c r="W417" s="1"/>
    </row>
    <row r="418" spans="1:23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2"/>
      <c r="P418" s="1"/>
      <c r="Q418" s="1"/>
      <c r="R418" s="1"/>
      <c r="S418" s="1"/>
      <c r="T418" s="1"/>
      <c r="U418" s="1"/>
      <c r="V418" s="1"/>
      <c r="W418" s="1"/>
    </row>
    <row r="419" spans="1:23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2"/>
      <c r="P419" s="1"/>
      <c r="Q419" s="1"/>
      <c r="R419" s="1"/>
      <c r="S419" s="1"/>
      <c r="T419" s="1"/>
      <c r="U419" s="1"/>
      <c r="V419" s="1"/>
      <c r="W419" s="1"/>
    </row>
    <row r="420" spans="1:23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2"/>
      <c r="P420" s="1"/>
      <c r="Q420" s="1"/>
      <c r="R420" s="1"/>
      <c r="S420" s="1"/>
      <c r="T420" s="1"/>
      <c r="U420" s="1"/>
      <c r="V420" s="1"/>
      <c r="W420" s="1"/>
    </row>
    <row r="421" spans="1:23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2"/>
      <c r="P421" s="1"/>
      <c r="Q421" s="1"/>
      <c r="R421" s="1"/>
      <c r="S421" s="1"/>
      <c r="T421" s="1"/>
      <c r="U421" s="1"/>
      <c r="V421" s="1"/>
      <c r="W421" s="1"/>
    </row>
    <row r="422" spans="1:23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/>
      <c r="P422" s="1"/>
      <c r="Q422" s="1"/>
      <c r="R422" s="1"/>
      <c r="S422" s="1"/>
      <c r="T422" s="1"/>
      <c r="U422" s="1"/>
      <c r="V422" s="1"/>
      <c r="W422" s="1"/>
    </row>
    <row r="423" spans="1:23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/>
      <c r="P423" s="1"/>
      <c r="Q423" s="1"/>
      <c r="R423" s="1"/>
      <c r="S423" s="1"/>
      <c r="T423" s="1"/>
      <c r="U423" s="1"/>
      <c r="V423" s="1"/>
      <c r="W423" s="1"/>
    </row>
    <row r="424" spans="1:23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/>
      <c r="P424" s="1"/>
      <c r="Q424" s="1"/>
      <c r="R424" s="1"/>
      <c r="S424" s="1"/>
      <c r="T424" s="1"/>
      <c r="U424" s="1"/>
      <c r="V424" s="1"/>
      <c r="W424" s="1"/>
    </row>
    <row r="425" spans="1:23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/>
      <c r="P425" s="1"/>
      <c r="Q425" s="1"/>
      <c r="R425" s="1"/>
      <c r="S425" s="1"/>
      <c r="T425" s="1"/>
      <c r="U425" s="1"/>
      <c r="V425" s="1"/>
      <c r="W425" s="1"/>
    </row>
    <row r="426" spans="1:23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/>
      <c r="P426" s="1"/>
      <c r="Q426" s="1"/>
      <c r="R426" s="1"/>
      <c r="S426" s="1"/>
      <c r="T426" s="1"/>
      <c r="U426" s="1"/>
      <c r="V426" s="1"/>
      <c r="W426" s="1"/>
    </row>
    <row r="427" spans="1:23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/>
      <c r="P427" s="1"/>
      <c r="Q427" s="1"/>
      <c r="R427" s="1"/>
      <c r="S427" s="1"/>
      <c r="T427" s="1"/>
      <c r="U427" s="1"/>
      <c r="V427" s="1"/>
      <c r="W427" s="1"/>
    </row>
    <row r="428" spans="1:23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2"/>
      <c r="P428" s="1"/>
      <c r="Q428" s="1"/>
      <c r="R428" s="1"/>
      <c r="S428" s="1"/>
      <c r="T428" s="1"/>
      <c r="U428" s="1"/>
      <c r="V428" s="1"/>
      <c r="W428" s="1"/>
    </row>
    <row r="429" spans="1:23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2"/>
      <c r="P429" s="1"/>
      <c r="Q429" s="1"/>
      <c r="R429" s="1"/>
      <c r="S429" s="1"/>
      <c r="T429" s="1"/>
      <c r="U429" s="1"/>
      <c r="V429" s="1"/>
      <c r="W429" s="1"/>
    </row>
    <row r="430" spans="1:23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2"/>
      <c r="P430" s="1"/>
      <c r="Q430" s="1"/>
      <c r="R430" s="1"/>
      <c r="S430" s="1"/>
      <c r="T430" s="1"/>
      <c r="U430" s="1"/>
      <c r="V430" s="1"/>
      <c r="W430" s="1"/>
    </row>
    <row r="431" spans="1:23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2"/>
      <c r="P431" s="1"/>
      <c r="Q431" s="1"/>
      <c r="R431" s="1"/>
      <c r="S431" s="1"/>
      <c r="T431" s="1"/>
      <c r="U431" s="1"/>
      <c r="V431" s="1"/>
      <c r="W431" s="1"/>
    </row>
    <row r="432" spans="1:23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2"/>
      <c r="P432" s="1"/>
      <c r="Q432" s="1"/>
      <c r="R432" s="1"/>
      <c r="S432" s="1"/>
      <c r="T432" s="1"/>
      <c r="U432" s="1"/>
      <c r="V432" s="1"/>
      <c r="W432" s="1"/>
    </row>
    <row r="433" spans="1:23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2"/>
      <c r="P433" s="1"/>
      <c r="Q433" s="1"/>
      <c r="R433" s="1"/>
      <c r="S433" s="1"/>
      <c r="T433" s="1"/>
      <c r="U433" s="1"/>
      <c r="V433" s="1"/>
      <c r="W433" s="1"/>
    </row>
    <row r="434" spans="1:23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2"/>
      <c r="P434" s="1"/>
      <c r="Q434" s="1"/>
      <c r="R434" s="1"/>
      <c r="S434" s="1"/>
      <c r="T434" s="1"/>
      <c r="U434" s="1"/>
      <c r="V434" s="1"/>
      <c r="W434" s="1"/>
    </row>
    <row r="435" spans="1:23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2"/>
      <c r="P435" s="1"/>
      <c r="Q435" s="1"/>
      <c r="R435" s="1"/>
      <c r="S435" s="1"/>
      <c r="T435" s="1"/>
      <c r="U435" s="1"/>
      <c r="V435" s="1"/>
      <c r="W435" s="1"/>
    </row>
    <row r="436" spans="1:23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2"/>
      <c r="P436" s="1"/>
      <c r="Q436" s="1"/>
      <c r="R436" s="1"/>
      <c r="S436" s="1"/>
      <c r="T436" s="1"/>
      <c r="U436" s="1"/>
      <c r="V436" s="1"/>
      <c r="W436" s="1"/>
    </row>
    <row r="437" spans="1:23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2"/>
      <c r="P437" s="1"/>
      <c r="Q437" s="1"/>
      <c r="R437" s="1"/>
      <c r="S437" s="1"/>
      <c r="T437" s="1"/>
      <c r="U437" s="1"/>
      <c r="V437" s="1"/>
      <c r="W437" s="1"/>
    </row>
    <row r="438" spans="1:23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2"/>
      <c r="P438" s="1"/>
      <c r="Q438" s="1"/>
      <c r="R438" s="1"/>
      <c r="S438" s="1"/>
      <c r="T438" s="1"/>
      <c r="U438" s="1"/>
      <c r="V438" s="1"/>
      <c r="W438" s="1"/>
    </row>
    <row r="439" spans="1:23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/>
      <c r="P439" s="1"/>
      <c r="Q439" s="1"/>
      <c r="R439" s="1"/>
      <c r="S439" s="1"/>
      <c r="T439" s="1"/>
      <c r="U439" s="1"/>
      <c r="V439" s="1"/>
      <c r="W439" s="1"/>
    </row>
    <row r="440" spans="1:23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/>
      <c r="P440" s="1"/>
      <c r="Q440" s="1"/>
      <c r="R440" s="1"/>
      <c r="S440" s="1"/>
      <c r="T440" s="1"/>
      <c r="U440" s="1"/>
      <c r="V440" s="1"/>
      <c r="W440" s="1"/>
    </row>
    <row r="441" spans="1:23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/>
      <c r="P441" s="1"/>
      <c r="Q441" s="1"/>
      <c r="R441" s="1"/>
      <c r="S441" s="1"/>
      <c r="T441" s="1"/>
      <c r="U441" s="1"/>
      <c r="V441" s="1"/>
      <c r="W441" s="1"/>
    </row>
    <row r="442" spans="1:23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/>
      <c r="P442" s="1"/>
      <c r="Q442" s="1"/>
      <c r="R442" s="1"/>
      <c r="S442" s="1"/>
      <c r="T442" s="1"/>
      <c r="U442" s="1"/>
      <c r="V442" s="1"/>
      <c r="W442" s="1"/>
    </row>
    <row r="443" spans="1:23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/>
      <c r="P443" s="1"/>
      <c r="Q443" s="1"/>
      <c r="R443" s="1"/>
      <c r="S443" s="1"/>
      <c r="T443" s="1"/>
      <c r="U443" s="1"/>
      <c r="V443" s="1"/>
      <c r="W443" s="1"/>
    </row>
    <row r="444" spans="1:23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/>
      <c r="P444" s="1"/>
      <c r="Q444" s="1"/>
      <c r="R444" s="1"/>
      <c r="S444" s="1"/>
      <c r="T444" s="1"/>
      <c r="U444" s="1"/>
      <c r="V444" s="1"/>
      <c r="W444" s="1"/>
    </row>
    <row r="445" spans="1:23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2"/>
      <c r="P445" s="1"/>
      <c r="Q445" s="1"/>
      <c r="R445" s="1"/>
      <c r="S445" s="1"/>
      <c r="T445" s="1"/>
      <c r="U445" s="1"/>
      <c r="V445" s="1"/>
      <c r="W445" s="1"/>
    </row>
    <row r="446" spans="1:23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2"/>
      <c r="P446" s="1"/>
      <c r="Q446" s="1"/>
      <c r="R446" s="1"/>
      <c r="S446" s="1"/>
      <c r="T446" s="1"/>
      <c r="U446" s="1"/>
      <c r="V446" s="1"/>
      <c r="W446" s="1"/>
    </row>
    <row r="447" spans="1:23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2"/>
      <c r="P447" s="1"/>
      <c r="Q447" s="1"/>
      <c r="R447" s="1"/>
      <c r="S447" s="1"/>
      <c r="T447" s="1"/>
      <c r="U447" s="1"/>
      <c r="V447" s="1"/>
      <c r="W447" s="1"/>
    </row>
    <row r="448" spans="1:23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2"/>
      <c r="P448" s="1"/>
      <c r="Q448" s="1"/>
      <c r="R448" s="1"/>
      <c r="S448" s="1"/>
      <c r="T448" s="1"/>
      <c r="U448" s="1"/>
      <c r="V448" s="1"/>
      <c r="W448" s="1"/>
    </row>
    <row r="449" spans="1:23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2"/>
      <c r="P449" s="1"/>
      <c r="Q449" s="1"/>
      <c r="R449" s="1"/>
      <c r="S449" s="1"/>
      <c r="T449" s="1"/>
      <c r="U449" s="1"/>
      <c r="V449" s="1"/>
      <c r="W449" s="1"/>
    </row>
    <row r="450" spans="1:23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2"/>
      <c r="P450" s="1"/>
      <c r="Q450" s="1"/>
      <c r="R450" s="1"/>
      <c r="S450" s="1"/>
      <c r="T450" s="1"/>
      <c r="U450" s="1"/>
      <c r="V450" s="1"/>
      <c r="W450" s="1"/>
    </row>
    <row r="451" spans="1:23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2"/>
      <c r="P451" s="1"/>
      <c r="Q451" s="1"/>
      <c r="R451" s="1"/>
      <c r="S451" s="1"/>
      <c r="T451" s="1"/>
      <c r="U451" s="1"/>
      <c r="V451" s="1"/>
      <c r="W451" s="1"/>
    </row>
    <row r="452" spans="1:23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2"/>
      <c r="P452" s="1"/>
      <c r="Q452" s="1"/>
      <c r="R452" s="1"/>
      <c r="S452" s="1"/>
      <c r="T452" s="1"/>
      <c r="U452" s="1"/>
      <c r="V452" s="1"/>
      <c r="W452" s="1"/>
    </row>
    <row r="453" spans="1:23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2"/>
      <c r="P453" s="1"/>
      <c r="Q453" s="1"/>
      <c r="R453" s="1"/>
      <c r="S453" s="1"/>
      <c r="T453" s="1"/>
      <c r="U453" s="1"/>
      <c r="V453" s="1"/>
      <c r="W453" s="1"/>
    </row>
    <row r="454" spans="1:23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2"/>
      <c r="P454" s="1"/>
      <c r="Q454" s="1"/>
      <c r="R454" s="1"/>
      <c r="S454" s="1"/>
      <c r="T454" s="1"/>
      <c r="U454" s="1"/>
      <c r="V454" s="1"/>
      <c r="W454" s="1"/>
    </row>
    <row r="455" spans="1:23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2"/>
      <c r="P455" s="1"/>
      <c r="Q455" s="1"/>
      <c r="R455" s="1"/>
      <c r="S455" s="1"/>
      <c r="T455" s="1"/>
      <c r="U455" s="1"/>
      <c r="V455" s="1"/>
      <c r="W455" s="1"/>
    </row>
    <row r="456" spans="1:23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2"/>
      <c r="P456" s="1"/>
      <c r="Q456" s="1"/>
      <c r="R456" s="1"/>
      <c r="S456" s="1"/>
      <c r="T456" s="1"/>
      <c r="U456" s="1"/>
      <c r="V456" s="1"/>
      <c r="W456" s="1"/>
    </row>
    <row r="457" spans="1:23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/>
      <c r="P457" s="1"/>
      <c r="Q457" s="1"/>
      <c r="R457" s="1"/>
      <c r="S457" s="1"/>
      <c r="T457" s="1"/>
      <c r="U457" s="1"/>
      <c r="V457" s="1"/>
      <c r="W457" s="1"/>
    </row>
    <row r="458" spans="1:23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/>
      <c r="P458" s="1"/>
      <c r="Q458" s="1"/>
      <c r="R458" s="1"/>
      <c r="S458" s="1"/>
      <c r="T458" s="1"/>
      <c r="U458" s="1"/>
      <c r="V458" s="1"/>
      <c r="W458" s="1"/>
    </row>
    <row r="459" spans="1:23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/>
      <c r="P459" s="1"/>
      <c r="Q459" s="1"/>
      <c r="R459" s="1"/>
      <c r="S459" s="1"/>
      <c r="T459" s="1"/>
      <c r="U459" s="1"/>
      <c r="V459" s="1"/>
      <c r="W459" s="1"/>
    </row>
    <row r="460" spans="1:23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/>
      <c r="P460" s="1"/>
      <c r="Q460" s="1"/>
      <c r="R460" s="1"/>
      <c r="S460" s="1"/>
      <c r="T460" s="1"/>
      <c r="U460" s="1"/>
      <c r="V460" s="1"/>
      <c r="W460" s="1"/>
    </row>
    <row r="461" spans="1:23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/>
      <c r="P461" s="1"/>
      <c r="Q461" s="1"/>
      <c r="R461" s="1"/>
      <c r="S461" s="1"/>
      <c r="T461" s="1"/>
      <c r="U461" s="1"/>
      <c r="V461" s="1"/>
      <c r="W461" s="1"/>
    </row>
    <row r="462" spans="1:23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2"/>
      <c r="P462" s="1"/>
      <c r="Q462" s="1"/>
      <c r="R462" s="1"/>
      <c r="S462" s="1"/>
      <c r="T462" s="1"/>
      <c r="U462" s="1"/>
      <c r="V462" s="1"/>
      <c r="W462" s="1"/>
    </row>
    <row r="463" spans="1:23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2"/>
      <c r="P463" s="1"/>
      <c r="Q463" s="1"/>
      <c r="R463" s="1"/>
      <c r="S463" s="1"/>
      <c r="T463" s="1"/>
      <c r="U463" s="1"/>
      <c r="V463" s="1"/>
      <c r="W463" s="1"/>
    </row>
    <row r="464" spans="1:23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2"/>
      <c r="P464" s="1"/>
      <c r="Q464" s="1"/>
      <c r="R464" s="1"/>
      <c r="S464" s="1"/>
      <c r="T464" s="1"/>
      <c r="U464" s="1"/>
      <c r="V464" s="1"/>
      <c r="W464" s="1"/>
    </row>
    <row r="465" spans="1:23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2"/>
      <c r="P465" s="1"/>
      <c r="Q465" s="1"/>
      <c r="R465" s="1"/>
      <c r="S465" s="1"/>
      <c r="T465" s="1"/>
      <c r="U465" s="1"/>
      <c r="V465" s="1"/>
      <c r="W465" s="1"/>
    </row>
    <row r="466" spans="1:23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2"/>
      <c r="P466" s="1"/>
      <c r="Q466" s="1"/>
      <c r="R466" s="1"/>
      <c r="S466" s="1"/>
      <c r="T466" s="1"/>
      <c r="U466" s="1"/>
      <c r="V466" s="1"/>
      <c r="W466" s="1"/>
    </row>
    <row r="467" spans="1:23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2"/>
      <c r="P467" s="1"/>
      <c r="Q467" s="1"/>
      <c r="R467" s="1"/>
      <c r="S467" s="1"/>
      <c r="T467" s="1"/>
      <c r="U467" s="1"/>
      <c r="V467" s="1"/>
      <c r="W467" s="1"/>
    </row>
    <row r="468" spans="1:23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2"/>
      <c r="P468" s="1"/>
      <c r="Q468" s="1"/>
      <c r="R468" s="1"/>
      <c r="S468" s="1"/>
      <c r="T468" s="1"/>
      <c r="U468" s="1"/>
      <c r="V468" s="1"/>
      <c r="W468" s="1"/>
    </row>
    <row r="469" spans="1:23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2"/>
      <c r="P469" s="1"/>
      <c r="Q469" s="1"/>
      <c r="R469" s="1"/>
      <c r="S469" s="1"/>
      <c r="T469" s="1"/>
      <c r="U469" s="1"/>
      <c r="V469" s="1"/>
      <c r="W469" s="1"/>
    </row>
    <row r="470" spans="1:23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2"/>
      <c r="P470" s="1"/>
      <c r="Q470" s="1"/>
      <c r="R470" s="1"/>
      <c r="S470" s="1"/>
      <c r="T470" s="1"/>
      <c r="U470" s="1"/>
      <c r="V470" s="1"/>
      <c r="W470" s="1"/>
    </row>
    <row r="471" spans="1:23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2"/>
      <c r="P471" s="1"/>
      <c r="Q471" s="1"/>
      <c r="R471" s="1"/>
      <c r="S471" s="1"/>
      <c r="T471" s="1"/>
      <c r="U471" s="1"/>
      <c r="V471" s="1"/>
      <c r="W471" s="1"/>
    </row>
    <row r="472" spans="1:23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2"/>
      <c r="P472" s="1"/>
      <c r="Q472" s="1"/>
      <c r="R472" s="1"/>
      <c r="S472" s="1"/>
      <c r="T472" s="1"/>
      <c r="U472" s="1"/>
      <c r="V472" s="1"/>
      <c r="W472" s="1"/>
    </row>
    <row r="473" spans="1:23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/>
      <c r="P473" s="1"/>
      <c r="Q473" s="1"/>
      <c r="R473" s="1"/>
      <c r="S473" s="1"/>
      <c r="T473" s="1"/>
      <c r="U473" s="1"/>
      <c r="V473" s="1"/>
      <c r="W473" s="1"/>
    </row>
    <row r="474" spans="1:23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/>
      <c r="P474" s="1"/>
      <c r="Q474" s="1"/>
      <c r="R474" s="1"/>
      <c r="S474" s="1"/>
      <c r="T474" s="1"/>
      <c r="U474" s="1"/>
      <c r="V474" s="1"/>
      <c r="W474" s="1"/>
    </row>
    <row r="475" spans="1:23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/>
      <c r="P475" s="1"/>
      <c r="Q475" s="1"/>
      <c r="R475" s="1"/>
      <c r="S475" s="1"/>
      <c r="T475" s="1"/>
      <c r="U475" s="1"/>
      <c r="V475" s="1"/>
      <c r="W475" s="1"/>
    </row>
    <row r="476" spans="1:23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/>
      <c r="P476" s="1"/>
      <c r="Q476" s="1"/>
      <c r="R476" s="1"/>
      <c r="S476" s="1"/>
      <c r="T476" s="1"/>
      <c r="U476" s="1"/>
      <c r="V476" s="1"/>
      <c r="W476" s="1"/>
    </row>
    <row r="477" spans="1:23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/>
      <c r="P477" s="1"/>
      <c r="Q477" s="1"/>
      <c r="R477" s="1"/>
      <c r="S477" s="1"/>
      <c r="T477" s="1"/>
      <c r="U477" s="1"/>
      <c r="V477" s="1"/>
      <c r="W477" s="1"/>
    </row>
    <row r="478" spans="1:23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/>
      <c r="P478" s="1"/>
      <c r="Q478" s="1"/>
      <c r="R478" s="1"/>
      <c r="S478" s="1"/>
      <c r="T478" s="1"/>
      <c r="U478" s="1"/>
      <c r="V478" s="1"/>
      <c r="W478" s="1"/>
    </row>
    <row r="479" spans="1:23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2"/>
      <c r="P479" s="1"/>
      <c r="Q479" s="1"/>
      <c r="R479" s="1"/>
      <c r="S479" s="1"/>
      <c r="T479" s="1"/>
      <c r="U479" s="1"/>
      <c r="V479" s="1"/>
      <c r="W479" s="1"/>
    </row>
    <row r="480" spans="1:23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2"/>
      <c r="P480" s="1"/>
      <c r="Q480" s="1"/>
      <c r="R480" s="1"/>
      <c r="S480" s="1"/>
      <c r="T480" s="1"/>
      <c r="U480" s="1"/>
      <c r="V480" s="1"/>
      <c r="W480" s="1"/>
    </row>
    <row r="481" spans="1:23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2"/>
      <c r="P481" s="1"/>
      <c r="Q481" s="1"/>
      <c r="R481" s="1"/>
      <c r="S481" s="1"/>
      <c r="T481" s="1"/>
      <c r="U481" s="1"/>
      <c r="V481" s="1"/>
      <c r="W481" s="1"/>
    </row>
    <row r="482" spans="1:23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2"/>
      <c r="P482" s="1"/>
      <c r="Q482" s="1"/>
      <c r="R482" s="1"/>
      <c r="S482" s="1"/>
      <c r="T482" s="1"/>
      <c r="U482" s="1"/>
      <c r="V482" s="1"/>
      <c r="W482" s="1"/>
    </row>
    <row r="483" spans="1:23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2"/>
      <c r="P483" s="1"/>
      <c r="Q483" s="1"/>
      <c r="R483" s="1"/>
      <c r="S483" s="1"/>
      <c r="T483" s="1"/>
      <c r="U483" s="1"/>
      <c r="V483" s="1"/>
      <c r="W483" s="1"/>
    </row>
    <row r="484" spans="1:23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2"/>
      <c r="P484" s="1"/>
      <c r="Q484" s="1"/>
      <c r="R484" s="1"/>
      <c r="S484" s="1"/>
      <c r="T484" s="1"/>
      <c r="U484" s="1"/>
      <c r="V484" s="1"/>
      <c r="W484" s="1"/>
    </row>
    <row r="485" spans="1:23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2"/>
      <c r="P485" s="1"/>
      <c r="Q485" s="1"/>
      <c r="R485" s="1"/>
      <c r="S485" s="1"/>
      <c r="T485" s="1"/>
      <c r="U485" s="1"/>
      <c r="V485" s="1"/>
      <c r="W485" s="1"/>
    </row>
    <row r="486" spans="1:23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2"/>
      <c r="P486" s="1"/>
      <c r="Q486" s="1"/>
      <c r="R486" s="1"/>
      <c r="S486" s="1"/>
      <c r="T486" s="1"/>
      <c r="U486" s="1"/>
      <c r="V486" s="1"/>
      <c r="W486" s="1"/>
    </row>
    <row r="487" spans="1:23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2"/>
      <c r="P487" s="1"/>
      <c r="Q487" s="1"/>
      <c r="R487" s="1"/>
      <c r="S487" s="1"/>
      <c r="T487" s="1"/>
      <c r="U487" s="1"/>
      <c r="V487" s="1"/>
      <c r="W487" s="1"/>
    </row>
    <row r="488" spans="1:23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2"/>
      <c r="P488" s="1"/>
      <c r="Q488" s="1"/>
      <c r="R488" s="1"/>
      <c r="S488" s="1"/>
      <c r="T488" s="1"/>
      <c r="U488" s="1"/>
      <c r="V488" s="1"/>
      <c r="W488" s="1"/>
    </row>
    <row r="489" spans="1:23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/>
      <c r="P489" s="1"/>
      <c r="Q489" s="1"/>
      <c r="R489" s="1"/>
      <c r="S489" s="1"/>
      <c r="T489" s="1"/>
      <c r="U489" s="1"/>
      <c r="V489" s="1"/>
      <c r="W489" s="1"/>
    </row>
    <row r="490" spans="1:23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/>
      <c r="P490" s="1"/>
      <c r="Q490" s="1"/>
      <c r="R490" s="1"/>
      <c r="S490" s="1"/>
      <c r="T490" s="1"/>
      <c r="U490" s="1"/>
      <c r="V490" s="1"/>
      <c r="W490" s="1"/>
    </row>
    <row r="491" spans="1:23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/>
      <c r="P491" s="1"/>
      <c r="Q491" s="1"/>
      <c r="R491" s="1"/>
      <c r="S491" s="1"/>
      <c r="T491" s="1"/>
      <c r="U491" s="1"/>
      <c r="V491" s="1"/>
      <c r="W491" s="1"/>
    </row>
    <row r="492" spans="1:23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/>
      <c r="P492" s="1"/>
      <c r="Q492" s="1"/>
      <c r="R492" s="1"/>
      <c r="S492" s="1"/>
      <c r="T492" s="1"/>
      <c r="U492" s="1"/>
      <c r="V492" s="1"/>
      <c r="W492" s="1"/>
    </row>
    <row r="493" spans="1:23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/>
      <c r="P493" s="1"/>
      <c r="Q493" s="1"/>
      <c r="R493" s="1"/>
      <c r="S493" s="1"/>
      <c r="T493" s="1"/>
      <c r="U493" s="1"/>
      <c r="V493" s="1"/>
      <c r="W493" s="1"/>
    </row>
    <row r="494" spans="1:23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/>
      <c r="P494" s="1"/>
      <c r="Q494" s="1"/>
      <c r="R494" s="1"/>
      <c r="S494" s="1"/>
      <c r="T494" s="1"/>
      <c r="U494" s="1"/>
      <c r="V494" s="1"/>
      <c r="W494" s="1"/>
    </row>
    <row r="495" spans="1:23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/>
      <c r="P495" s="1"/>
      <c r="Q495" s="1"/>
      <c r="R495" s="1"/>
      <c r="S495" s="1"/>
      <c r="T495" s="1"/>
      <c r="U495" s="1"/>
      <c r="V495" s="1"/>
      <c r="W495" s="1"/>
    </row>
    <row r="496" spans="1:23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2"/>
      <c r="P496" s="1"/>
      <c r="Q496" s="1"/>
      <c r="R496" s="1"/>
      <c r="S496" s="1"/>
      <c r="T496" s="1"/>
      <c r="U496" s="1"/>
      <c r="V496" s="1"/>
      <c r="W496" s="1"/>
    </row>
    <row r="497" spans="1:23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2"/>
      <c r="P497" s="1"/>
      <c r="Q497" s="1"/>
      <c r="R497" s="1"/>
      <c r="S497" s="1"/>
      <c r="T497" s="1"/>
      <c r="U497" s="1"/>
      <c r="V497" s="1"/>
      <c r="W497" s="1"/>
    </row>
    <row r="498" spans="1:23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2"/>
      <c r="P498" s="1"/>
      <c r="Q498" s="1"/>
      <c r="R498" s="1"/>
      <c r="S498" s="1"/>
      <c r="T498" s="1"/>
      <c r="U498" s="1"/>
      <c r="V498" s="1"/>
      <c r="W498" s="1"/>
    </row>
    <row r="499" spans="1:23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2"/>
      <c r="P499" s="1"/>
      <c r="Q499" s="1"/>
      <c r="R499" s="1"/>
      <c r="S499" s="1"/>
      <c r="T499" s="1"/>
      <c r="U499" s="1"/>
      <c r="V499" s="1"/>
      <c r="W499" s="1"/>
    </row>
    <row r="500" spans="1:23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2"/>
      <c r="P500" s="1"/>
      <c r="Q500" s="1"/>
      <c r="R500" s="1"/>
      <c r="S500" s="1"/>
      <c r="T500" s="1"/>
      <c r="U500" s="1"/>
      <c r="V500" s="1"/>
      <c r="W500" s="1"/>
    </row>
    <row r="501" spans="1:23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2"/>
      <c r="P501" s="1"/>
      <c r="Q501" s="1"/>
      <c r="R501" s="1"/>
      <c r="S501" s="1"/>
      <c r="T501" s="1"/>
      <c r="U501" s="1"/>
      <c r="V501" s="1"/>
      <c r="W501" s="1"/>
    </row>
    <row r="502" spans="1:23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2"/>
      <c r="P502" s="1"/>
      <c r="Q502" s="1"/>
      <c r="R502" s="1"/>
      <c r="S502" s="1"/>
      <c r="T502" s="1"/>
      <c r="U502" s="1"/>
      <c r="V502" s="1"/>
      <c r="W502" s="1"/>
    </row>
    <row r="503" spans="1:23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2"/>
      <c r="P503" s="1"/>
      <c r="Q503" s="1"/>
      <c r="R503" s="1"/>
      <c r="S503" s="1"/>
      <c r="T503" s="1"/>
      <c r="U503" s="1"/>
      <c r="V503" s="1"/>
      <c r="W503" s="1"/>
    </row>
    <row r="504" spans="1:23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2"/>
      <c r="P504" s="1"/>
      <c r="Q504" s="1"/>
      <c r="R504" s="1"/>
      <c r="S504" s="1"/>
      <c r="T504" s="1"/>
      <c r="U504" s="1"/>
      <c r="V504" s="1"/>
      <c r="W504" s="1"/>
    </row>
    <row r="505" spans="1:23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/>
      <c r="P505" s="1"/>
      <c r="Q505" s="1"/>
      <c r="R505" s="1"/>
      <c r="S505" s="1"/>
      <c r="T505" s="1"/>
      <c r="U505" s="1"/>
      <c r="V505" s="1"/>
      <c r="W505" s="1"/>
    </row>
    <row r="506" spans="1:23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/>
      <c r="P506" s="1"/>
      <c r="Q506" s="1"/>
      <c r="R506" s="1"/>
      <c r="S506" s="1"/>
      <c r="T506" s="1"/>
      <c r="U506" s="1"/>
      <c r="V506" s="1"/>
      <c r="W506" s="1"/>
    </row>
    <row r="507" spans="1:23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/>
      <c r="P507" s="1"/>
      <c r="Q507" s="1"/>
      <c r="R507" s="1"/>
      <c r="S507" s="1"/>
      <c r="T507" s="1"/>
      <c r="U507" s="1"/>
      <c r="V507" s="1"/>
      <c r="W507" s="1"/>
    </row>
    <row r="508" spans="1:23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/>
      <c r="P508" s="1"/>
      <c r="Q508" s="1"/>
      <c r="R508" s="1"/>
      <c r="S508" s="1"/>
      <c r="T508" s="1"/>
      <c r="U508" s="1"/>
      <c r="V508" s="1"/>
      <c r="W508" s="1"/>
    </row>
    <row r="509" spans="1:23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/>
      <c r="P509" s="1"/>
      <c r="Q509" s="1"/>
      <c r="R509" s="1"/>
      <c r="S509" s="1"/>
      <c r="T509" s="1"/>
      <c r="U509" s="1"/>
      <c r="V509" s="1"/>
      <c r="W509" s="1"/>
    </row>
    <row r="510" spans="1:23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/>
      <c r="P510" s="1"/>
      <c r="Q510" s="1"/>
      <c r="R510" s="1"/>
      <c r="S510" s="1"/>
      <c r="T510" s="1"/>
      <c r="U510" s="1"/>
      <c r="V510" s="1"/>
      <c r="W510" s="1"/>
    </row>
    <row r="511" spans="1:23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/>
      <c r="P511" s="1"/>
      <c r="Q511" s="1"/>
      <c r="R511" s="1"/>
      <c r="S511" s="1"/>
      <c r="T511" s="1"/>
      <c r="U511" s="1"/>
      <c r="V511" s="1"/>
      <c r="W511" s="1"/>
    </row>
    <row r="512" spans="1:23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/>
      <c r="P512" s="1"/>
      <c r="Q512" s="1"/>
      <c r="R512" s="1"/>
      <c r="S512" s="1"/>
      <c r="T512" s="1"/>
      <c r="U512" s="1"/>
      <c r="V512" s="1"/>
      <c r="W512" s="1"/>
    </row>
    <row r="513" spans="1:23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2"/>
      <c r="P513" s="1"/>
      <c r="Q513" s="1"/>
      <c r="R513" s="1"/>
      <c r="S513" s="1"/>
      <c r="T513" s="1"/>
      <c r="U513" s="1"/>
      <c r="V513" s="1"/>
      <c r="W513" s="1"/>
    </row>
    <row r="514" spans="1:23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2"/>
      <c r="P514" s="1"/>
      <c r="Q514" s="1"/>
      <c r="R514" s="1"/>
      <c r="S514" s="1"/>
      <c r="T514" s="1"/>
      <c r="U514" s="1"/>
      <c r="V514" s="1"/>
      <c r="W514" s="1"/>
    </row>
    <row r="515" spans="1:23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2"/>
      <c r="P515" s="1"/>
      <c r="Q515" s="1"/>
      <c r="R515" s="1"/>
      <c r="S515" s="1"/>
      <c r="T515" s="1"/>
      <c r="U515" s="1"/>
      <c r="V515" s="1"/>
      <c r="W515" s="1"/>
    </row>
    <row r="516" spans="1:23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2"/>
      <c r="P516" s="1"/>
      <c r="Q516" s="1"/>
      <c r="R516" s="1"/>
      <c r="S516" s="1"/>
      <c r="T516" s="1"/>
      <c r="U516" s="1"/>
      <c r="V516" s="1"/>
      <c r="W516" s="1"/>
    </row>
    <row r="517" spans="1:23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2"/>
      <c r="P517" s="1"/>
      <c r="Q517" s="1"/>
      <c r="R517" s="1"/>
      <c r="S517" s="1"/>
      <c r="T517" s="1"/>
      <c r="U517" s="1"/>
      <c r="V517" s="1"/>
      <c r="W517" s="1"/>
    </row>
    <row r="518" spans="1:23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2"/>
      <c r="P518" s="1"/>
      <c r="Q518" s="1"/>
      <c r="R518" s="1"/>
      <c r="S518" s="1"/>
      <c r="T518" s="1"/>
      <c r="U518" s="1"/>
      <c r="V518" s="1"/>
      <c r="W518" s="1"/>
    </row>
    <row r="519" spans="1:23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2"/>
      <c r="P519" s="1"/>
      <c r="Q519" s="1"/>
      <c r="R519" s="1"/>
      <c r="S519" s="1"/>
      <c r="T519" s="1"/>
      <c r="U519" s="1"/>
      <c r="V519" s="1"/>
      <c r="W519" s="1"/>
    </row>
    <row r="520" spans="1:23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2"/>
      <c r="P520" s="1"/>
      <c r="Q520" s="1"/>
      <c r="R520" s="1"/>
      <c r="S520" s="1"/>
      <c r="T520" s="1"/>
      <c r="U520" s="1"/>
      <c r="V520" s="1"/>
      <c r="W520" s="1"/>
    </row>
    <row r="521" spans="1:23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/>
      <c r="P521" s="1"/>
      <c r="Q521" s="1"/>
      <c r="R521" s="1"/>
      <c r="S521" s="1"/>
      <c r="T521" s="1"/>
      <c r="U521" s="1"/>
      <c r="V521" s="1"/>
      <c r="W521" s="1"/>
    </row>
    <row r="522" spans="1:23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/>
      <c r="P522" s="1"/>
      <c r="Q522" s="1"/>
      <c r="R522" s="1"/>
      <c r="S522" s="1"/>
      <c r="T522" s="1"/>
      <c r="U522" s="1"/>
      <c r="V522" s="1"/>
      <c r="W522" s="1"/>
    </row>
    <row r="523" spans="1:23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/>
      <c r="P523" s="1"/>
      <c r="Q523" s="1"/>
      <c r="R523" s="1"/>
      <c r="S523" s="1"/>
      <c r="T523" s="1"/>
      <c r="U523" s="1"/>
      <c r="V523" s="1"/>
      <c r="W523" s="1"/>
    </row>
    <row r="524" spans="1:23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/>
      <c r="P524" s="1"/>
      <c r="Q524" s="1"/>
      <c r="R524" s="1"/>
      <c r="S524" s="1"/>
      <c r="T524" s="1"/>
      <c r="U524" s="1"/>
      <c r="V524" s="1"/>
      <c r="W524" s="1"/>
    </row>
    <row r="525" spans="1:23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/>
      <c r="P525" s="1"/>
      <c r="Q525" s="1"/>
      <c r="R525" s="1"/>
      <c r="S525" s="1"/>
      <c r="T525" s="1"/>
      <c r="U525" s="1"/>
      <c r="V525" s="1"/>
      <c r="W525" s="1"/>
    </row>
    <row r="526" spans="1:23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/>
      <c r="P526" s="1"/>
      <c r="Q526" s="1"/>
      <c r="R526" s="1"/>
      <c r="S526" s="1"/>
      <c r="T526" s="1"/>
      <c r="U526" s="1"/>
      <c r="V526" s="1"/>
      <c r="W526" s="1"/>
    </row>
    <row r="527" spans="1:23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/>
      <c r="P527" s="1"/>
      <c r="Q527" s="1"/>
      <c r="R527" s="1"/>
      <c r="S527" s="1"/>
      <c r="T527" s="1"/>
      <c r="U527" s="1"/>
      <c r="V527" s="1"/>
      <c r="W527" s="1"/>
    </row>
    <row r="528" spans="1:23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/>
      <c r="P528" s="1"/>
      <c r="Q528" s="1"/>
      <c r="R528" s="1"/>
      <c r="S528" s="1"/>
      <c r="T528" s="1"/>
      <c r="U528" s="1"/>
      <c r="V528" s="1"/>
      <c r="W528" s="1"/>
    </row>
    <row r="529" spans="1:23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/>
      <c r="P529" s="1"/>
      <c r="Q529" s="1"/>
      <c r="R529" s="1"/>
      <c r="S529" s="1"/>
      <c r="T529" s="1"/>
      <c r="U529" s="1"/>
      <c r="V529" s="1"/>
      <c r="W529" s="1"/>
    </row>
    <row r="530" spans="1:23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2"/>
      <c r="P530" s="1"/>
      <c r="Q530" s="1"/>
      <c r="R530" s="1"/>
      <c r="S530" s="1"/>
      <c r="T530" s="1"/>
      <c r="U530" s="1"/>
      <c r="V530" s="1"/>
      <c r="W530" s="1"/>
    </row>
    <row r="531" spans="1:23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2"/>
      <c r="P531" s="1"/>
      <c r="Q531" s="1"/>
      <c r="R531" s="1"/>
      <c r="S531" s="1"/>
      <c r="T531" s="1"/>
      <c r="U531" s="1"/>
      <c r="V531" s="1"/>
      <c r="W531" s="1"/>
    </row>
    <row r="532" spans="1:23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2"/>
      <c r="P532" s="1"/>
      <c r="Q532" s="1"/>
      <c r="R532" s="1"/>
      <c r="S532" s="1"/>
      <c r="T532" s="1"/>
      <c r="U532" s="1"/>
      <c r="V532" s="1"/>
      <c r="W532" s="1"/>
    </row>
    <row r="533" spans="1:23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2"/>
      <c r="P533" s="1"/>
      <c r="Q533" s="1"/>
      <c r="R533" s="1"/>
      <c r="S533" s="1"/>
      <c r="T533" s="1"/>
      <c r="U533" s="1"/>
      <c r="V533" s="1"/>
      <c r="W533" s="1"/>
    </row>
    <row r="534" spans="1:23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2"/>
      <c r="P534" s="1"/>
      <c r="Q534" s="1"/>
      <c r="R534" s="1"/>
      <c r="S534" s="1"/>
      <c r="T534" s="1"/>
      <c r="U534" s="1"/>
      <c r="V534" s="1"/>
      <c r="W534" s="1"/>
    </row>
    <row r="535" spans="1:23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2"/>
      <c r="P535" s="1"/>
      <c r="Q535" s="1"/>
      <c r="R535" s="1"/>
      <c r="S535" s="1"/>
      <c r="T535" s="1"/>
      <c r="U535" s="1"/>
      <c r="V535" s="1"/>
      <c r="W535" s="1"/>
    </row>
    <row r="536" spans="1:23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2"/>
      <c r="P536" s="1"/>
      <c r="Q536" s="1"/>
      <c r="R536" s="1"/>
      <c r="S536" s="1"/>
      <c r="T536" s="1"/>
      <c r="U536" s="1"/>
      <c r="V536" s="1"/>
      <c r="W536" s="1"/>
    </row>
    <row r="537" spans="1:23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2"/>
      <c r="P537" s="1"/>
      <c r="Q537" s="1"/>
      <c r="R537" s="1"/>
      <c r="S537" s="1"/>
      <c r="T537" s="1"/>
      <c r="U537" s="1"/>
      <c r="V537" s="1"/>
      <c r="W537" s="1"/>
    </row>
    <row r="538" spans="1:23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2"/>
      <c r="P538" s="1"/>
      <c r="Q538" s="1"/>
      <c r="R538" s="1"/>
      <c r="S538" s="1"/>
      <c r="T538" s="1"/>
      <c r="U538" s="1"/>
      <c r="V538" s="1"/>
      <c r="W538" s="1"/>
    </row>
    <row r="539" spans="1:23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2"/>
      <c r="P539" s="1"/>
      <c r="Q539" s="1"/>
      <c r="R539" s="1"/>
      <c r="S539" s="1"/>
      <c r="T539" s="1"/>
      <c r="U539" s="1"/>
      <c r="V539" s="1"/>
      <c r="W539" s="1"/>
    </row>
    <row r="540" spans="1:23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2"/>
      <c r="P540" s="1"/>
      <c r="Q540" s="1"/>
      <c r="R540" s="1"/>
      <c r="S540" s="1"/>
      <c r="T540" s="1"/>
      <c r="U540" s="1"/>
      <c r="V540" s="1"/>
      <c r="W540" s="1"/>
    </row>
    <row r="541" spans="1:23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2"/>
      <c r="P541" s="1"/>
      <c r="Q541" s="1"/>
      <c r="R541" s="1"/>
      <c r="S541" s="1"/>
      <c r="T541" s="1"/>
      <c r="U541" s="1"/>
      <c r="V541" s="1"/>
      <c r="W541" s="1"/>
    </row>
    <row r="542" spans="1:23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2"/>
      <c r="P542" s="1"/>
      <c r="Q542" s="1"/>
      <c r="R542" s="1"/>
      <c r="S542" s="1"/>
      <c r="T542" s="1"/>
      <c r="U542" s="1"/>
      <c r="V542" s="1"/>
      <c r="W542" s="1"/>
    </row>
    <row r="543" spans="1:23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2"/>
      <c r="P543" s="1"/>
      <c r="Q543" s="1"/>
      <c r="R543" s="1"/>
      <c r="S543" s="1"/>
      <c r="T543" s="1"/>
      <c r="U543" s="1"/>
      <c r="V543" s="1"/>
      <c r="W543" s="1"/>
    </row>
    <row r="544" spans="1:23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2"/>
      <c r="P544" s="1"/>
      <c r="Q544" s="1"/>
      <c r="R544" s="1"/>
      <c r="S544" s="1"/>
      <c r="T544" s="1"/>
      <c r="U544" s="1"/>
      <c r="V544" s="1"/>
      <c r="W544" s="1"/>
    </row>
    <row r="545" spans="1:23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2"/>
      <c r="P545" s="1"/>
      <c r="Q545" s="1"/>
      <c r="R545" s="1"/>
      <c r="S545" s="1"/>
      <c r="T545" s="1"/>
      <c r="U545" s="1"/>
      <c r="V545" s="1"/>
      <c r="W545" s="1"/>
    </row>
    <row r="546" spans="1:23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2"/>
      <c r="P546" s="1"/>
      <c r="Q546" s="1"/>
      <c r="R546" s="1"/>
      <c r="S546" s="1"/>
      <c r="T546" s="1"/>
      <c r="U546" s="1"/>
      <c r="V546" s="1"/>
      <c r="W546" s="1"/>
    </row>
    <row r="547" spans="1:23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2"/>
      <c r="P547" s="1"/>
      <c r="Q547" s="1"/>
      <c r="R547" s="1"/>
      <c r="S547" s="1"/>
      <c r="T547" s="1"/>
      <c r="U547" s="1"/>
      <c r="V547" s="1"/>
      <c r="W547" s="1"/>
    </row>
    <row r="548" spans="1:23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2"/>
      <c r="P548" s="1"/>
      <c r="Q548" s="1"/>
      <c r="R548" s="1"/>
      <c r="S548" s="1"/>
      <c r="T548" s="1"/>
      <c r="U548" s="1"/>
      <c r="V548" s="1"/>
      <c r="W548" s="1"/>
    </row>
    <row r="549" spans="1:23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2"/>
      <c r="P549" s="1"/>
      <c r="Q549" s="1"/>
      <c r="R549" s="1"/>
      <c r="S549" s="1"/>
      <c r="T549" s="1"/>
      <c r="U549" s="1"/>
      <c r="V549" s="1"/>
      <c r="W549" s="1"/>
    </row>
    <row r="550" spans="1:23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2"/>
      <c r="P550" s="1"/>
      <c r="Q550" s="1"/>
      <c r="R550" s="1"/>
      <c r="S550" s="1"/>
      <c r="T550" s="1"/>
      <c r="U550" s="1"/>
      <c r="V550" s="1"/>
      <c r="W550" s="1"/>
    </row>
    <row r="551" spans="1:23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2"/>
      <c r="P551" s="1"/>
      <c r="Q551" s="1"/>
      <c r="R551" s="1"/>
      <c r="S551" s="1"/>
      <c r="T551" s="1"/>
      <c r="U551" s="1"/>
      <c r="V551" s="1"/>
      <c r="W551" s="1"/>
    </row>
    <row r="552" spans="1:23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2"/>
      <c r="P552" s="1"/>
      <c r="Q552" s="1"/>
      <c r="R552" s="1"/>
      <c r="S552" s="1"/>
      <c r="T552" s="1"/>
      <c r="U552" s="1"/>
      <c r="V552" s="1"/>
      <c r="W552" s="1"/>
    </row>
    <row r="553" spans="1:23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2"/>
      <c r="P553" s="1"/>
      <c r="Q553" s="1"/>
      <c r="R553" s="1"/>
      <c r="S553" s="1"/>
      <c r="T553" s="1"/>
      <c r="U553" s="1"/>
      <c r="V553" s="1"/>
      <c r="W553" s="1"/>
    </row>
    <row r="554" spans="1:23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2"/>
      <c r="P554" s="1"/>
      <c r="Q554" s="1"/>
      <c r="R554" s="1"/>
      <c r="S554" s="1"/>
      <c r="T554" s="1"/>
      <c r="U554" s="1"/>
      <c r="V554" s="1"/>
      <c r="W554" s="1"/>
    </row>
    <row r="555" spans="1:23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2"/>
      <c r="P555" s="1"/>
      <c r="Q555" s="1"/>
      <c r="R555" s="1"/>
      <c r="S555" s="1"/>
      <c r="T555" s="1"/>
      <c r="U555" s="1"/>
      <c r="V555" s="1"/>
      <c r="W555" s="1"/>
    </row>
    <row r="556" spans="1:23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2"/>
      <c r="P556" s="1"/>
      <c r="Q556" s="1"/>
      <c r="R556" s="1"/>
      <c r="S556" s="1"/>
      <c r="T556" s="1"/>
      <c r="U556" s="1"/>
      <c r="V556" s="1"/>
      <c r="W556" s="1"/>
    </row>
    <row r="557" spans="1:23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2"/>
      <c r="P557" s="1"/>
      <c r="Q557" s="1"/>
      <c r="R557" s="1"/>
      <c r="S557" s="1"/>
      <c r="T557" s="1"/>
      <c r="U557" s="1"/>
      <c r="V557" s="1"/>
      <c r="W557" s="1"/>
    </row>
    <row r="558" spans="1:23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2"/>
      <c r="P558" s="1"/>
      <c r="Q558" s="1"/>
      <c r="R558" s="1"/>
      <c r="S558" s="1"/>
      <c r="T558" s="1"/>
      <c r="U558" s="1"/>
      <c r="V558" s="1"/>
      <c r="W558" s="1"/>
    </row>
    <row r="559" spans="1:23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2"/>
      <c r="P559" s="1"/>
      <c r="Q559" s="1"/>
      <c r="R559" s="1"/>
      <c r="S559" s="1"/>
      <c r="T559" s="1"/>
      <c r="U559" s="1"/>
      <c r="V559" s="1"/>
      <c r="W559" s="1"/>
    </row>
    <row r="560" spans="1:23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2"/>
      <c r="P560" s="1"/>
      <c r="Q560" s="1"/>
      <c r="R560" s="1"/>
      <c r="S560" s="1"/>
      <c r="T560" s="1"/>
      <c r="U560" s="1"/>
      <c r="V560" s="1"/>
      <c r="W560" s="1"/>
    </row>
    <row r="561" spans="1:23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2"/>
      <c r="P561" s="1"/>
      <c r="Q561" s="1"/>
      <c r="R561" s="1"/>
      <c r="S561" s="1"/>
      <c r="T561" s="1"/>
      <c r="U561" s="1"/>
      <c r="V561" s="1"/>
      <c r="W561" s="1"/>
    </row>
    <row r="562" spans="1:23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2"/>
      <c r="P562" s="1"/>
      <c r="Q562" s="1"/>
      <c r="R562" s="1"/>
      <c r="S562" s="1"/>
      <c r="T562" s="1"/>
      <c r="U562" s="1"/>
      <c r="V562" s="1"/>
      <c r="W562" s="1"/>
    </row>
    <row r="563" spans="1:23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2"/>
      <c r="P563" s="1"/>
      <c r="Q563" s="1"/>
      <c r="R563" s="1"/>
      <c r="S563" s="1"/>
      <c r="T563" s="1"/>
      <c r="U563" s="1"/>
      <c r="V563" s="1"/>
      <c r="W563" s="1"/>
    </row>
    <row r="564" spans="1:23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2"/>
      <c r="P564" s="1"/>
      <c r="Q564" s="1"/>
      <c r="R564" s="1"/>
      <c r="S564" s="1"/>
      <c r="T564" s="1"/>
      <c r="U564" s="1"/>
      <c r="V564" s="1"/>
      <c r="W564" s="1"/>
    </row>
    <row r="565" spans="1:23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2"/>
      <c r="P565" s="1"/>
      <c r="Q565" s="1"/>
      <c r="R565" s="1"/>
      <c r="S565" s="1"/>
      <c r="T565" s="1"/>
      <c r="U565" s="1"/>
      <c r="V565" s="1"/>
      <c r="W565" s="1"/>
    </row>
    <row r="566" spans="1:23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2"/>
      <c r="P566" s="1"/>
      <c r="Q566" s="1"/>
      <c r="R566" s="1"/>
      <c r="S566" s="1"/>
      <c r="T566" s="1"/>
      <c r="U566" s="1"/>
      <c r="V566" s="1"/>
      <c r="W566" s="1"/>
    </row>
    <row r="567" spans="1:23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2"/>
      <c r="P567" s="1"/>
      <c r="Q567" s="1"/>
      <c r="R567" s="1"/>
      <c r="S567" s="1"/>
      <c r="T567" s="1"/>
      <c r="U567" s="1"/>
      <c r="V567" s="1"/>
      <c r="W567" s="1"/>
    </row>
    <row r="568" spans="1:23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2"/>
      <c r="P568" s="1"/>
      <c r="Q568" s="1"/>
      <c r="R568" s="1"/>
      <c r="S568" s="1"/>
      <c r="T568" s="1"/>
      <c r="U568" s="1"/>
      <c r="V568" s="1"/>
      <c r="W568" s="1"/>
    </row>
    <row r="569" spans="1:23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2"/>
      <c r="P569" s="1"/>
      <c r="Q569" s="1"/>
      <c r="R569" s="1"/>
      <c r="S569" s="1"/>
      <c r="T569" s="1"/>
      <c r="U569" s="1"/>
      <c r="V569" s="1"/>
      <c r="W569" s="1"/>
    </row>
    <row r="570" spans="1:23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2"/>
      <c r="P570" s="1"/>
      <c r="Q570" s="1"/>
      <c r="R570" s="1"/>
      <c r="S570" s="1"/>
      <c r="T570" s="1"/>
      <c r="U570" s="1"/>
      <c r="V570" s="1"/>
      <c r="W570" s="1"/>
    </row>
    <row r="571" spans="1:23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2"/>
      <c r="P571" s="1"/>
      <c r="Q571" s="1"/>
      <c r="R571" s="1"/>
      <c r="S571" s="1"/>
      <c r="T571" s="1"/>
      <c r="U571" s="1"/>
      <c r="V571" s="1"/>
      <c r="W571" s="1"/>
    </row>
    <row r="572" spans="1:23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2"/>
      <c r="P572" s="1"/>
      <c r="Q572" s="1"/>
      <c r="R572" s="1"/>
      <c r="S572" s="1"/>
      <c r="T572" s="1"/>
      <c r="U572" s="1"/>
      <c r="V572" s="1"/>
      <c r="W572" s="1"/>
    </row>
    <row r="573" spans="1:23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2"/>
      <c r="P573" s="1"/>
      <c r="Q573" s="1"/>
      <c r="R573" s="1"/>
      <c r="S573" s="1"/>
      <c r="T573" s="1"/>
      <c r="U573" s="1"/>
      <c r="V573" s="1"/>
      <c r="W573" s="1"/>
    </row>
    <row r="574" spans="1:23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2"/>
      <c r="P574" s="1"/>
      <c r="Q574" s="1"/>
      <c r="R574" s="1"/>
      <c r="S574" s="1"/>
      <c r="T574" s="1"/>
      <c r="U574" s="1"/>
      <c r="V574" s="1"/>
      <c r="W574" s="1"/>
    </row>
    <row r="575" spans="1:23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2"/>
      <c r="P575" s="1"/>
      <c r="Q575" s="1"/>
      <c r="R575" s="1"/>
      <c r="S575" s="1"/>
      <c r="T575" s="1"/>
      <c r="U575" s="1"/>
      <c r="V575" s="1"/>
      <c r="W575" s="1"/>
    </row>
    <row r="576" spans="1:23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2"/>
      <c r="P576" s="1"/>
      <c r="Q576" s="1"/>
      <c r="R576" s="1"/>
      <c r="S576" s="1"/>
      <c r="T576" s="1"/>
      <c r="U576" s="1"/>
      <c r="V576" s="1"/>
      <c r="W576" s="1"/>
    </row>
    <row r="577" spans="1:23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2"/>
      <c r="P577" s="1"/>
      <c r="Q577" s="1"/>
      <c r="R577" s="1"/>
      <c r="S577" s="1"/>
      <c r="T577" s="1"/>
      <c r="U577" s="1"/>
      <c r="V577" s="1"/>
      <c r="W577" s="1"/>
    </row>
    <row r="578" spans="1:23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2"/>
      <c r="P578" s="1"/>
      <c r="Q578" s="1"/>
      <c r="R578" s="1"/>
      <c r="S578" s="1"/>
      <c r="T578" s="1"/>
      <c r="U578" s="1"/>
      <c r="V578" s="1"/>
      <c r="W578" s="1"/>
    </row>
    <row r="579" spans="1:23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2"/>
      <c r="P579" s="1"/>
      <c r="Q579" s="1"/>
      <c r="R579" s="1"/>
      <c r="S579" s="1"/>
      <c r="T579" s="1"/>
      <c r="U579" s="1"/>
      <c r="V579" s="1"/>
      <c r="W579" s="1"/>
    </row>
    <row r="580" spans="1:23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2"/>
      <c r="P580" s="1"/>
      <c r="Q580" s="1"/>
      <c r="R580" s="1"/>
      <c r="S580" s="1"/>
      <c r="T580" s="1"/>
      <c r="U580" s="1"/>
      <c r="V580" s="1"/>
      <c r="W580" s="1"/>
    </row>
    <row r="581" spans="1:23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2"/>
      <c r="P581" s="1"/>
      <c r="Q581" s="1"/>
      <c r="R581" s="1"/>
      <c r="S581" s="1"/>
      <c r="T581" s="1"/>
      <c r="U581" s="1"/>
      <c r="V581" s="1"/>
      <c r="W581" s="1"/>
    </row>
    <row r="582" spans="1:23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2"/>
      <c r="P582" s="1"/>
      <c r="Q582" s="1"/>
      <c r="R582" s="1"/>
      <c r="S582" s="1"/>
      <c r="T582" s="1"/>
      <c r="U582" s="1"/>
      <c r="V582" s="1"/>
      <c r="W582" s="1"/>
    </row>
    <row r="583" spans="1:23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2"/>
      <c r="P583" s="1"/>
      <c r="Q583" s="1"/>
      <c r="R583" s="1"/>
      <c r="S583" s="1"/>
      <c r="T583" s="1"/>
      <c r="U583" s="1"/>
      <c r="V583" s="1"/>
      <c r="W583" s="1"/>
    </row>
    <row r="584" spans="1:23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2"/>
      <c r="P584" s="1"/>
      <c r="Q584" s="1"/>
      <c r="R584" s="1"/>
      <c r="S584" s="1"/>
      <c r="T584" s="1"/>
      <c r="U584" s="1"/>
      <c r="V584" s="1"/>
      <c r="W584" s="1"/>
    </row>
    <row r="585" spans="1:23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2"/>
      <c r="P585" s="1"/>
      <c r="Q585" s="1"/>
      <c r="R585" s="1"/>
      <c r="S585" s="1"/>
      <c r="T585" s="1"/>
      <c r="U585" s="1"/>
      <c r="V585" s="1"/>
      <c r="W585" s="1"/>
    </row>
    <row r="586" spans="1:23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2"/>
      <c r="P586" s="1"/>
      <c r="Q586" s="1"/>
      <c r="R586" s="1"/>
      <c r="S586" s="1"/>
      <c r="T586" s="1"/>
      <c r="U586" s="1"/>
      <c r="V586" s="1"/>
      <c r="W586" s="1"/>
    </row>
    <row r="587" spans="1:23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2"/>
      <c r="P587" s="1"/>
      <c r="Q587" s="1"/>
      <c r="R587" s="1"/>
      <c r="S587" s="1"/>
      <c r="T587" s="1"/>
      <c r="U587" s="1"/>
      <c r="V587" s="1"/>
      <c r="W587" s="1"/>
    </row>
    <row r="588" spans="1:23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2"/>
      <c r="P588" s="1"/>
      <c r="Q588" s="1"/>
      <c r="R588" s="1"/>
      <c r="S588" s="1"/>
      <c r="T588" s="1"/>
      <c r="U588" s="1"/>
      <c r="V588" s="1"/>
      <c r="W588" s="1"/>
    </row>
    <row r="589" spans="1:23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2"/>
      <c r="P589" s="1"/>
      <c r="Q589" s="1"/>
      <c r="R589" s="1"/>
      <c r="S589" s="1"/>
      <c r="T589" s="1"/>
      <c r="U589" s="1"/>
      <c r="V589" s="1"/>
      <c r="W589" s="1"/>
    </row>
    <row r="590" spans="1:23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2"/>
      <c r="P590" s="1"/>
      <c r="Q590" s="1"/>
      <c r="R590" s="1"/>
      <c r="S590" s="1"/>
      <c r="T590" s="1"/>
      <c r="U590" s="1"/>
      <c r="V590" s="1"/>
      <c r="W590" s="1"/>
    </row>
    <row r="591" spans="1:23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2"/>
      <c r="P591" s="1"/>
      <c r="Q591" s="1"/>
      <c r="R591" s="1"/>
      <c r="S591" s="1"/>
      <c r="T591" s="1"/>
      <c r="U591" s="1"/>
      <c r="V591" s="1"/>
      <c r="W591" s="1"/>
    </row>
    <row r="592" spans="1:23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2"/>
      <c r="P592" s="1"/>
      <c r="Q592" s="1"/>
      <c r="R592" s="1"/>
      <c r="S592" s="1"/>
      <c r="T592" s="1"/>
      <c r="U592" s="1"/>
      <c r="V592" s="1"/>
      <c r="W592" s="1"/>
    </row>
    <row r="593" spans="1:23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2"/>
      <c r="P593" s="1"/>
      <c r="Q593" s="1"/>
      <c r="R593" s="1"/>
      <c r="S593" s="1"/>
      <c r="T593" s="1"/>
      <c r="U593" s="1"/>
      <c r="V593" s="1"/>
      <c r="W593" s="1"/>
    </row>
    <row r="594" spans="1:23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2"/>
      <c r="P594" s="1"/>
      <c r="Q594" s="1"/>
      <c r="R594" s="1"/>
      <c r="S594" s="1"/>
      <c r="T594" s="1"/>
      <c r="U594" s="1"/>
      <c r="V594" s="1"/>
      <c r="W594" s="1"/>
    </row>
    <row r="595" spans="1:23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2"/>
      <c r="P595" s="1"/>
      <c r="Q595" s="1"/>
      <c r="R595" s="1"/>
      <c r="S595" s="1"/>
      <c r="T595" s="1"/>
      <c r="U595" s="1"/>
      <c r="V595" s="1"/>
      <c r="W595" s="1"/>
    </row>
    <row r="596" spans="1:23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2"/>
      <c r="P596" s="1"/>
      <c r="Q596" s="1"/>
      <c r="R596" s="1"/>
      <c r="S596" s="1"/>
      <c r="T596" s="1"/>
      <c r="U596" s="1"/>
      <c r="V596" s="1"/>
      <c r="W596" s="1"/>
    </row>
    <row r="597" spans="1:23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2"/>
      <c r="P597" s="1"/>
      <c r="Q597" s="1"/>
      <c r="R597" s="1"/>
      <c r="S597" s="1"/>
      <c r="T597" s="1"/>
      <c r="U597" s="1"/>
      <c r="V597" s="1"/>
      <c r="W597" s="1"/>
    </row>
    <row r="598" spans="1:23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2"/>
      <c r="P598" s="1"/>
      <c r="Q598" s="1"/>
      <c r="R598" s="1"/>
      <c r="S598" s="1"/>
      <c r="T598" s="1"/>
      <c r="U598" s="1"/>
      <c r="V598" s="1"/>
      <c r="W598" s="1"/>
    </row>
    <row r="599" spans="1:23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2"/>
      <c r="P599" s="1"/>
      <c r="Q599" s="1"/>
      <c r="R599" s="1"/>
      <c r="S599" s="1"/>
      <c r="T599" s="1"/>
      <c r="U599" s="1"/>
      <c r="V599" s="1"/>
      <c r="W599" s="1"/>
    </row>
    <row r="600" spans="1:23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2"/>
      <c r="P600" s="1"/>
      <c r="Q600" s="1"/>
      <c r="R600" s="1"/>
      <c r="S600" s="1"/>
      <c r="T600" s="1"/>
      <c r="U600" s="1"/>
      <c r="V600" s="1"/>
      <c r="W600" s="1"/>
    </row>
    <row r="601" spans="1:23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2"/>
      <c r="P601" s="1"/>
      <c r="Q601" s="1"/>
      <c r="R601" s="1"/>
      <c r="S601" s="1"/>
      <c r="T601" s="1"/>
      <c r="U601" s="1"/>
      <c r="V601" s="1"/>
      <c r="W601" s="1"/>
    </row>
    <row r="602" spans="1:23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2"/>
      <c r="P602" s="1"/>
      <c r="Q602" s="1"/>
      <c r="R602" s="1"/>
      <c r="S602" s="1"/>
      <c r="T602" s="1"/>
      <c r="U602" s="1"/>
      <c r="V602" s="1"/>
      <c r="W602" s="1"/>
    </row>
    <row r="603" spans="1:23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2"/>
      <c r="P603" s="1"/>
      <c r="Q603" s="1"/>
      <c r="R603" s="1"/>
      <c r="S603" s="1"/>
      <c r="T603" s="1"/>
      <c r="U603" s="1"/>
      <c r="V603" s="1"/>
      <c r="W603" s="1"/>
    </row>
    <row r="604" spans="1:23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2"/>
      <c r="P604" s="1"/>
      <c r="Q604" s="1"/>
      <c r="R604" s="1"/>
      <c r="S604" s="1"/>
      <c r="T604" s="1"/>
      <c r="U604" s="1"/>
      <c r="V604" s="1"/>
      <c r="W604" s="1"/>
    </row>
    <row r="605" spans="1:23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2"/>
      <c r="P605" s="1"/>
      <c r="Q605" s="1"/>
      <c r="R605" s="1"/>
      <c r="S605" s="1"/>
      <c r="T605" s="1"/>
      <c r="U605" s="1"/>
      <c r="V605" s="1"/>
      <c r="W605" s="1"/>
    </row>
    <row r="606" spans="1:23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2"/>
      <c r="P606" s="1"/>
      <c r="Q606" s="1"/>
      <c r="R606" s="1"/>
      <c r="S606" s="1"/>
      <c r="T606" s="1"/>
      <c r="U606" s="1"/>
      <c r="V606" s="1"/>
      <c r="W606" s="1"/>
    </row>
    <row r="607" spans="1:23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2"/>
      <c r="P607" s="1"/>
      <c r="Q607" s="1"/>
      <c r="R607" s="1"/>
      <c r="S607" s="1"/>
      <c r="T607" s="1"/>
      <c r="U607" s="1"/>
      <c r="V607" s="1"/>
      <c r="W607" s="1"/>
    </row>
    <row r="608" spans="1:23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2"/>
      <c r="P608" s="1"/>
      <c r="Q608" s="1"/>
      <c r="R608" s="1"/>
      <c r="S608" s="1"/>
      <c r="T608" s="1"/>
      <c r="U608" s="1"/>
      <c r="V608" s="1"/>
      <c r="W608" s="1"/>
    </row>
    <row r="609" spans="1:23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2"/>
      <c r="P609" s="1"/>
      <c r="Q609" s="1"/>
      <c r="R609" s="1"/>
      <c r="S609" s="1"/>
      <c r="T609" s="1"/>
      <c r="U609" s="1"/>
      <c r="V609" s="1"/>
      <c r="W609" s="1"/>
    </row>
    <row r="610" spans="1:23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2"/>
      <c r="P610" s="1"/>
      <c r="Q610" s="1"/>
      <c r="R610" s="1"/>
      <c r="S610" s="1"/>
      <c r="T610" s="1"/>
      <c r="U610" s="1"/>
      <c r="V610" s="1"/>
      <c r="W610" s="1"/>
    </row>
    <row r="611" spans="1:23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2"/>
      <c r="P611" s="1"/>
      <c r="Q611" s="1"/>
      <c r="R611" s="1"/>
      <c r="S611" s="1"/>
      <c r="T611" s="1"/>
      <c r="U611" s="1"/>
      <c r="V611" s="1"/>
      <c r="W611" s="1"/>
    </row>
    <row r="612" spans="1:23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2"/>
      <c r="P612" s="1"/>
      <c r="Q612" s="1"/>
      <c r="R612" s="1"/>
      <c r="S612" s="1"/>
      <c r="T612" s="1"/>
      <c r="U612" s="1"/>
      <c r="V612" s="1"/>
      <c r="W612" s="1"/>
    </row>
    <row r="613" spans="1:23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2"/>
      <c r="P613" s="1"/>
      <c r="Q613" s="1"/>
      <c r="R613" s="1"/>
      <c r="S613" s="1"/>
      <c r="T613" s="1"/>
      <c r="U613" s="1"/>
      <c r="V613" s="1"/>
      <c r="W613" s="1"/>
    </row>
    <row r="614" spans="1:23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2"/>
      <c r="P614" s="1"/>
      <c r="Q614" s="1"/>
      <c r="R614" s="1"/>
      <c r="S614" s="1"/>
      <c r="T614" s="1"/>
      <c r="U614" s="1"/>
      <c r="V614" s="1"/>
      <c r="W614" s="1"/>
    </row>
    <row r="615" spans="1:23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2"/>
      <c r="P615" s="1"/>
      <c r="Q615" s="1"/>
      <c r="R615" s="1"/>
      <c r="S615" s="1"/>
      <c r="T615" s="1"/>
      <c r="U615" s="1"/>
      <c r="V615" s="1"/>
      <c r="W615" s="1"/>
    </row>
    <row r="616" spans="1:23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2"/>
      <c r="P616" s="1"/>
      <c r="Q616" s="1"/>
      <c r="R616" s="1"/>
      <c r="S616" s="1"/>
      <c r="T616" s="1"/>
      <c r="U616" s="1"/>
      <c r="V616" s="1"/>
      <c r="W616" s="1"/>
    </row>
    <row r="617" spans="1:23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2"/>
      <c r="P617" s="1"/>
      <c r="Q617" s="1"/>
      <c r="R617" s="1"/>
      <c r="S617" s="1"/>
      <c r="T617" s="1"/>
      <c r="U617" s="1"/>
      <c r="V617" s="1"/>
      <c r="W617" s="1"/>
    </row>
    <row r="618" spans="1:23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2"/>
      <c r="P618" s="1"/>
      <c r="Q618" s="1"/>
      <c r="R618" s="1"/>
      <c r="S618" s="1"/>
      <c r="T618" s="1"/>
      <c r="U618" s="1"/>
      <c r="V618" s="1"/>
      <c r="W618" s="1"/>
    </row>
    <row r="619" spans="1:23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2"/>
      <c r="P619" s="1"/>
      <c r="Q619" s="1"/>
      <c r="R619" s="1"/>
      <c r="S619" s="1"/>
      <c r="T619" s="1"/>
      <c r="U619" s="1"/>
      <c r="V619" s="1"/>
      <c r="W619" s="1"/>
    </row>
    <row r="620" spans="1:23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2"/>
      <c r="P620" s="1"/>
      <c r="Q620" s="1"/>
      <c r="R620" s="1"/>
      <c r="S620" s="1"/>
      <c r="T620" s="1"/>
      <c r="U620" s="1"/>
      <c r="V620" s="1"/>
      <c r="W620" s="1"/>
    </row>
    <row r="621" spans="1:23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2"/>
      <c r="P621" s="1"/>
      <c r="Q621" s="1"/>
      <c r="R621" s="1"/>
      <c r="S621" s="1"/>
      <c r="T621" s="1"/>
      <c r="U621" s="1"/>
      <c r="V621" s="1"/>
      <c r="W621" s="1"/>
    </row>
    <row r="622" spans="1:23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2"/>
      <c r="P622" s="1"/>
      <c r="Q622" s="1"/>
      <c r="R622" s="1"/>
      <c r="S622" s="1"/>
      <c r="T622" s="1"/>
      <c r="U622" s="1"/>
      <c r="V622" s="1"/>
      <c r="W622" s="1"/>
    </row>
    <row r="623" spans="1:23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2"/>
      <c r="P623" s="1"/>
      <c r="Q623" s="1"/>
      <c r="R623" s="1"/>
      <c r="S623" s="1"/>
      <c r="T623" s="1"/>
      <c r="U623" s="1"/>
      <c r="V623" s="1"/>
      <c r="W623" s="1"/>
    </row>
    <row r="624" spans="1:23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2"/>
      <c r="P624" s="1"/>
      <c r="Q624" s="1"/>
      <c r="R624" s="1"/>
      <c r="S624" s="1"/>
      <c r="T624" s="1"/>
      <c r="U624" s="1"/>
      <c r="V624" s="1"/>
      <c r="W624" s="1"/>
    </row>
    <row r="625" spans="1:23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2"/>
      <c r="P625" s="1"/>
      <c r="Q625" s="1"/>
      <c r="R625" s="1"/>
      <c r="S625" s="1"/>
      <c r="T625" s="1"/>
      <c r="U625" s="1"/>
      <c r="V625" s="1"/>
      <c r="W625" s="1"/>
    </row>
    <row r="626" spans="1:23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2"/>
      <c r="P626" s="1"/>
      <c r="Q626" s="1"/>
      <c r="R626" s="1"/>
      <c r="S626" s="1"/>
      <c r="T626" s="1"/>
      <c r="U626" s="1"/>
      <c r="V626" s="1"/>
      <c r="W626" s="1"/>
    </row>
    <row r="627" spans="1:23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2"/>
      <c r="P627" s="1"/>
      <c r="Q627" s="1"/>
      <c r="R627" s="1"/>
      <c r="S627" s="1"/>
      <c r="T627" s="1"/>
      <c r="U627" s="1"/>
      <c r="V627" s="1"/>
      <c r="W627" s="1"/>
    </row>
    <row r="628" spans="1:23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2"/>
      <c r="P628" s="1"/>
      <c r="Q628" s="1"/>
      <c r="R628" s="1"/>
      <c r="S628" s="1"/>
      <c r="T628" s="1"/>
      <c r="U628" s="1"/>
      <c r="V628" s="1"/>
      <c r="W628" s="1"/>
    </row>
    <row r="629" spans="1:23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2"/>
      <c r="P629" s="1"/>
      <c r="Q629" s="1"/>
      <c r="R629" s="1"/>
      <c r="S629" s="1"/>
      <c r="T629" s="1"/>
      <c r="U629" s="1"/>
      <c r="V629" s="1"/>
      <c r="W629" s="1"/>
    </row>
    <row r="630" spans="1:23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2"/>
      <c r="P630" s="1"/>
      <c r="Q630" s="1"/>
      <c r="R630" s="1"/>
      <c r="S630" s="1"/>
      <c r="T630" s="1"/>
      <c r="U630" s="1"/>
      <c r="V630" s="1"/>
      <c r="W630" s="1"/>
    </row>
    <row r="631" spans="1:23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2"/>
      <c r="P631" s="1"/>
      <c r="Q631" s="1"/>
      <c r="R631" s="1"/>
      <c r="S631" s="1"/>
      <c r="T631" s="1"/>
      <c r="U631" s="1"/>
      <c r="V631" s="1"/>
      <c r="W631" s="1"/>
    </row>
    <row r="632" spans="1:23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2"/>
      <c r="P632" s="1"/>
      <c r="Q632" s="1"/>
      <c r="R632" s="1"/>
      <c r="S632" s="1"/>
      <c r="T632" s="1"/>
      <c r="U632" s="1"/>
      <c r="V632" s="1"/>
      <c r="W632" s="1"/>
    </row>
    <row r="633" spans="1:23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2"/>
      <c r="P633" s="1"/>
      <c r="Q633" s="1"/>
      <c r="R633" s="1"/>
      <c r="S633" s="1"/>
      <c r="T633" s="1"/>
      <c r="U633" s="1"/>
      <c r="V633" s="1"/>
      <c r="W633" s="1"/>
    </row>
    <row r="634" spans="1:23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2"/>
      <c r="P634" s="1"/>
      <c r="Q634" s="1"/>
      <c r="R634" s="1"/>
      <c r="S634" s="1"/>
      <c r="T634" s="1"/>
      <c r="U634" s="1"/>
      <c r="V634" s="1"/>
      <c r="W634" s="1"/>
    </row>
    <row r="635" spans="1:23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2"/>
      <c r="P635" s="1"/>
      <c r="Q635" s="1"/>
      <c r="R635" s="1"/>
      <c r="S635" s="1"/>
      <c r="T635" s="1"/>
      <c r="U635" s="1"/>
      <c r="V635" s="1"/>
      <c r="W635" s="1"/>
    </row>
    <row r="636" spans="1:23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2"/>
      <c r="P636" s="1"/>
      <c r="Q636" s="1"/>
      <c r="R636" s="1"/>
      <c r="S636" s="1"/>
      <c r="T636" s="1"/>
      <c r="U636" s="1"/>
      <c r="V636" s="1"/>
      <c r="W636" s="1"/>
    </row>
    <row r="637" spans="1:23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2"/>
      <c r="P637" s="1"/>
      <c r="Q637" s="1"/>
      <c r="R637" s="1"/>
      <c r="S637" s="1"/>
      <c r="T637" s="1"/>
      <c r="U637" s="1"/>
      <c r="V637" s="1"/>
      <c r="W637" s="1"/>
    </row>
    <row r="638" spans="1:23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2"/>
      <c r="P638" s="1"/>
      <c r="Q638" s="1"/>
      <c r="R638" s="1"/>
      <c r="S638" s="1"/>
      <c r="T638" s="1"/>
      <c r="U638" s="1"/>
      <c r="V638" s="1"/>
      <c r="W638" s="1"/>
    </row>
    <row r="639" spans="1:23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2"/>
      <c r="P639" s="1"/>
      <c r="Q639" s="1"/>
      <c r="R639" s="1"/>
      <c r="S639" s="1"/>
      <c r="T639" s="1"/>
      <c r="U639" s="1"/>
      <c r="V639" s="1"/>
      <c r="W639" s="1"/>
    </row>
    <row r="640" spans="1:23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2"/>
      <c r="P640" s="1"/>
      <c r="Q640" s="1"/>
      <c r="R640" s="1"/>
      <c r="S640" s="1"/>
      <c r="T640" s="1"/>
      <c r="U640" s="1"/>
      <c r="V640" s="1"/>
      <c r="W640" s="1"/>
    </row>
    <row r="641" spans="1:23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2"/>
      <c r="P641" s="1"/>
      <c r="Q641" s="1"/>
      <c r="R641" s="1"/>
      <c r="S641" s="1"/>
      <c r="T641" s="1"/>
      <c r="U641" s="1"/>
      <c r="V641" s="1"/>
      <c r="W641" s="1"/>
    </row>
    <row r="642" spans="1:23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2"/>
      <c r="P642" s="1"/>
      <c r="Q642" s="1"/>
      <c r="R642" s="1"/>
      <c r="S642" s="1"/>
      <c r="T642" s="1"/>
      <c r="U642" s="1"/>
      <c r="V642" s="1"/>
      <c r="W642" s="1"/>
    </row>
    <row r="643" spans="1:23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2"/>
      <c r="P643" s="1"/>
      <c r="Q643" s="1"/>
      <c r="R643" s="1"/>
      <c r="S643" s="1"/>
      <c r="T643" s="1"/>
      <c r="U643" s="1"/>
      <c r="V643" s="1"/>
      <c r="W643" s="1"/>
    </row>
    <row r="644" spans="1:23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2"/>
      <c r="P644" s="1"/>
      <c r="Q644" s="1"/>
      <c r="R644" s="1"/>
      <c r="S644" s="1"/>
      <c r="T644" s="1"/>
      <c r="U644" s="1"/>
      <c r="V644" s="1"/>
      <c r="W644" s="1"/>
    </row>
    <row r="645" spans="1:23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2"/>
      <c r="P645" s="1"/>
      <c r="Q645" s="1"/>
      <c r="R645" s="1"/>
      <c r="S645" s="1"/>
      <c r="T645" s="1"/>
      <c r="U645" s="1"/>
      <c r="V645" s="1"/>
      <c r="W645" s="1"/>
    </row>
    <row r="646" spans="1:23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2"/>
      <c r="P646" s="1"/>
      <c r="Q646" s="1"/>
      <c r="R646" s="1"/>
      <c r="S646" s="1"/>
      <c r="T646" s="1"/>
      <c r="U646" s="1"/>
      <c r="V646" s="1"/>
      <c r="W646" s="1"/>
    </row>
    <row r="647" spans="1:23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2"/>
      <c r="P647" s="1"/>
      <c r="Q647" s="1"/>
      <c r="R647" s="1"/>
      <c r="S647" s="1"/>
      <c r="T647" s="1"/>
      <c r="U647" s="1"/>
      <c r="V647" s="1"/>
      <c r="W647" s="1"/>
    </row>
    <row r="648" spans="1:23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2"/>
      <c r="P648" s="1"/>
      <c r="Q648" s="1"/>
      <c r="R648" s="1"/>
      <c r="S648" s="1"/>
      <c r="T648" s="1"/>
      <c r="U648" s="1"/>
      <c r="V648" s="1"/>
      <c r="W648" s="1"/>
    </row>
    <row r="649" spans="1:23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2"/>
      <c r="P649" s="1"/>
      <c r="Q649" s="1"/>
      <c r="R649" s="1"/>
      <c r="S649" s="1"/>
      <c r="T649" s="1"/>
      <c r="U649" s="1"/>
      <c r="V649" s="1"/>
      <c r="W649" s="1"/>
    </row>
    <row r="650" spans="1:23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2"/>
      <c r="P650" s="1"/>
      <c r="Q650" s="1"/>
      <c r="R650" s="1"/>
      <c r="S650" s="1"/>
      <c r="T650" s="1"/>
      <c r="U650" s="1"/>
      <c r="V650" s="1"/>
      <c r="W650" s="1"/>
    </row>
    <row r="651" spans="1:23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2"/>
      <c r="P651" s="1"/>
      <c r="Q651" s="1"/>
      <c r="R651" s="1"/>
      <c r="S651" s="1"/>
      <c r="T651" s="1"/>
      <c r="U651" s="1"/>
      <c r="V651" s="1"/>
      <c r="W651" s="1"/>
    </row>
    <row r="652" spans="1:23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2"/>
      <c r="P652" s="1"/>
      <c r="Q652" s="1"/>
      <c r="R652" s="1"/>
      <c r="S652" s="1"/>
      <c r="T652" s="1"/>
      <c r="U652" s="1"/>
      <c r="V652" s="1"/>
      <c r="W652" s="1"/>
    </row>
    <row r="653" spans="1:23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2"/>
      <c r="P653" s="1"/>
      <c r="Q653" s="1"/>
      <c r="R653" s="1"/>
      <c r="S653" s="1"/>
      <c r="T653" s="1"/>
      <c r="U653" s="1"/>
      <c r="V653" s="1"/>
      <c r="W653" s="1"/>
    </row>
    <row r="654" spans="1:23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2"/>
      <c r="P654" s="1"/>
      <c r="Q654" s="1"/>
      <c r="R654" s="1"/>
      <c r="S654" s="1"/>
      <c r="T654" s="1"/>
      <c r="U654" s="1"/>
      <c r="V654" s="1"/>
      <c r="W654" s="1"/>
    </row>
    <row r="655" spans="1:23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2"/>
      <c r="P655" s="1"/>
      <c r="Q655" s="1"/>
      <c r="R655" s="1"/>
      <c r="S655" s="1"/>
      <c r="T655" s="1"/>
      <c r="U655" s="1"/>
      <c r="V655" s="1"/>
      <c r="W655" s="1"/>
    </row>
    <row r="656" spans="1:23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2"/>
      <c r="P656" s="1"/>
      <c r="Q656" s="1"/>
      <c r="R656" s="1"/>
      <c r="S656" s="1"/>
      <c r="T656" s="1"/>
      <c r="U656" s="1"/>
      <c r="V656" s="1"/>
      <c r="W656" s="1"/>
    </row>
    <row r="657" spans="1:23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2"/>
      <c r="P657" s="1"/>
      <c r="Q657" s="1"/>
      <c r="R657" s="1"/>
      <c r="S657" s="1"/>
      <c r="T657" s="1"/>
      <c r="U657" s="1"/>
      <c r="V657" s="1"/>
      <c r="W657" s="1"/>
    </row>
    <row r="658" spans="1:23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2"/>
      <c r="P658" s="1"/>
      <c r="Q658" s="1"/>
      <c r="R658" s="1"/>
      <c r="S658" s="1"/>
      <c r="T658" s="1"/>
      <c r="U658" s="1"/>
      <c r="V658" s="1"/>
      <c r="W658" s="1"/>
    </row>
    <row r="659" spans="1:23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2"/>
      <c r="P659" s="1"/>
      <c r="Q659" s="1"/>
      <c r="R659" s="1"/>
      <c r="S659" s="1"/>
      <c r="T659" s="1"/>
      <c r="U659" s="1"/>
      <c r="V659" s="1"/>
      <c r="W659" s="1"/>
    </row>
    <row r="660" spans="1:23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2"/>
      <c r="P660" s="1"/>
      <c r="Q660" s="1"/>
      <c r="R660" s="1"/>
      <c r="S660" s="1"/>
      <c r="T660" s="1"/>
      <c r="U660" s="1"/>
      <c r="V660" s="1"/>
      <c r="W660" s="1"/>
    </row>
    <row r="661" spans="1:23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2"/>
      <c r="P661" s="1"/>
      <c r="Q661" s="1"/>
      <c r="R661" s="1"/>
      <c r="S661" s="1"/>
      <c r="T661" s="1"/>
      <c r="U661" s="1"/>
      <c r="V661" s="1"/>
      <c r="W661" s="1"/>
    </row>
    <row r="662" spans="1:23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2"/>
      <c r="P662" s="1"/>
      <c r="Q662" s="1"/>
      <c r="R662" s="1"/>
      <c r="S662" s="1"/>
      <c r="T662" s="1"/>
      <c r="U662" s="1"/>
      <c r="V662" s="1"/>
      <c r="W662" s="1"/>
    </row>
    <row r="663" spans="1:23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2"/>
      <c r="P663" s="1"/>
      <c r="Q663" s="1"/>
      <c r="R663" s="1"/>
      <c r="S663" s="1"/>
      <c r="T663" s="1"/>
      <c r="U663" s="1"/>
      <c r="V663" s="1"/>
      <c r="W663" s="1"/>
    </row>
    <row r="664" spans="1:23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2"/>
      <c r="P664" s="1"/>
      <c r="Q664" s="1"/>
      <c r="R664" s="1"/>
      <c r="S664" s="1"/>
      <c r="T664" s="1"/>
      <c r="U664" s="1"/>
      <c r="V664" s="1"/>
      <c r="W664" s="1"/>
    </row>
    <row r="665" spans="1:23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2"/>
      <c r="P665" s="1"/>
      <c r="Q665" s="1"/>
      <c r="R665" s="1"/>
      <c r="S665" s="1"/>
      <c r="T665" s="1"/>
      <c r="U665" s="1"/>
      <c r="V665" s="1"/>
      <c r="W665" s="1"/>
    </row>
    <row r="666" spans="1:23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2"/>
      <c r="P666" s="1"/>
      <c r="Q666" s="1"/>
      <c r="R666" s="1"/>
      <c r="S666" s="1"/>
      <c r="T666" s="1"/>
      <c r="U666" s="1"/>
      <c r="V666" s="1"/>
      <c r="W666" s="1"/>
    </row>
    <row r="667" spans="1:23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2"/>
      <c r="P667" s="1"/>
      <c r="Q667" s="1"/>
      <c r="R667" s="1"/>
      <c r="S667" s="1"/>
      <c r="T667" s="1"/>
      <c r="U667" s="1"/>
      <c r="V667" s="1"/>
      <c r="W667" s="1"/>
    </row>
    <row r="668" spans="1:23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2"/>
      <c r="P668" s="1"/>
      <c r="Q668" s="1"/>
      <c r="R668" s="1"/>
      <c r="S668" s="1"/>
      <c r="T668" s="1"/>
      <c r="U668" s="1"/>
      <c r="V668" s="1"/>
      <c r="W668" s="1"/>
    </row>
    <row r="669" spans="1:23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2"/>
      <c r="P669" s="1"/>
      <c r="Q669" s="1"/>
      <c r="R669" s="1"/>
      <c r="S669" s="1"/>
      <c r="T669" s="1"/>
      <c r="U669" s="1"/>
      <c r="V669" s="1"/>
      <c r="W669" s="1"/>
    </row>
    <row r="670" spans="1:23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2"/>
      <c r="P670" s="1"/>
      <c r="Q670" s="1"/>
      <c r="R670" s="1"/>
      <c r="S670" s="1"/>
      <c r="T670" s="1"/>
      <c r="U670" s="1"/>
      <c r="V670" s="1"/>
      <c r="W670" s="1"/>
    </row>
    <row r="671" spans="1:23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2"/>
      <c r="P671" s="1"/>
      <c r="Q671" s="1"/>
      <c r="R671" s="1"/>
      <c r="S671" s="1"/>
      <c r="T671" s="1"/>
      <c r="U671" s="1"/>
      <c r="V671" s="1"/>
      <c r="W671" s="1"/>
    </row>
    <row r="672" spans="1:23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2"/>
      <c r="P672" s="1"/>
      <c r="Q672" s="1"/>
      <c r="R672" s="1"/>
      <c r="S672" s="1"/>
      <c r="T672" s="1"/>
      <c r="U672" s="1"/>
      <c r="V672" s="1"/>
      <c r="W672" s="1"/>
    </row>
    <row r="673" spans="1:23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2"/>
      <c r="P673" s="1"/>
      <c r="Q673" s="1"/>
      <c r="R673" s="1"/>
      <c r="S673" s="1"/>
      <c r="T673" s="1"/>
      <c r="U673" s="1"/>
      <c r="V673" s="1"/>
      <c r="W673" s="1"/>
    </row>
    <row r="674" spans="1:23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2"/>
      <c r="P674" s="1"/>
      <c r="Q674" s="1"/>
      <c r="R674" s="1"/>
      <c r="S674" s="1"/>
      <c r="T674" s="1"/>
      <c r="U674" s="1"/>
      <c r="V674" s="1"/>
      <c r="W674" s="1"/>
    </row>
    <row r="675" spans="1:23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2"/>
      <c r="P675" s="1"/>
      <c r="Q675" s="1"/>
      <c r="R675" s="1"/>
      <c r="S675" s="1"/>
      <c r="T675" s="1"/>
      <c r="U675" s="1"/>
      <c r="V675" s="1"/>
      <c r="W675" s="1"/>
    </row>
    <row r="676" spans="1:23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2"/>
      <c r="P676" s="1"/>
      <c r="Q676" s="1"/>
      <c r="R676" s="1"/>
      <c r="S676" s="1"/>
      <c r="T676" s="1"/>
      <c r="U676" s="1"/>
      <c r="V676" s="1"/>
      <c r="W676" s="1"/>
    </row>
    <row r="677" spans="1:23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2"/>
      <c r="P677" s="1"/>
      <c r="Q677" s="1"/>
      <c r="R677" s="1"/>
      <c r="S677" s="1"/>
      <c r="T677" s="1"/>
      <c r="U677" s="1"/>
      <c r="V677" s="1"/>
      <c r="W677" s="1"/>
    </row>
    <row r="678" spans="1:23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2"/>
      <c r="P678" s="1"/>
      <c r="Q678" s="1"/>
      <c r="R678" s="1"/>
      <c r="S678" s="1"/>
      <c r="T678" s="1"/>
      <c r="U678" s="1"/>
      <c r="V678" s="1"/>
      <c r="W678" s="1"/>
    </row>
    <row r="679" spans="1:23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2"/>
      <c r="P679" s="1"/>
      <c r="Q679" s="1"/>
      <c r="R679" s="1"/>
      <c r="S679" s="1"/>
      <c r="T679" s="1"/>
      <c r="U679" s="1"/>
      <c r="V679" s="1"/>
      <c r="W679" s="1"/>
    </row>
    <row r="680" spans="1:23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2"/>
      <c r="P680" s="1"/>
      <c r="Q680" s="1"/>
      <c r="R680" s="1"/>
      <c r="S680" s="1"/>
      <c r="T680" s="1"/>
      <c r="U680" s="1"/>
      <c r="V680" s="1"/>
      <c r="W680" s="1"/>
    </row>
    <row r="681" spans="1:23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2"/>
      <c r="P681" s="1"/>
      <c r="Q681" s="1"/>
      <c r="R681" s="1"/>
      <c r="S681" s="1"/>
      <c r="T681" s="1"/>
      <c r="U681" s="1"/>
      <c r="V681" s="1"/>
      <c r="W681" s="1"/>
    </row>
    <row r="682" spans="1:23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2"/>
      <c r="P682" s="1"/>
      <c r="Q682" s="1"/>
      <c r="R682" s="1"/>
      <c r="S682" s="1"/>
      <c r="T682" s="1"/>
      <c r="U682" s="1"/>
      <c r="V682" s="1"/>
      <c r="W682" s="1"/>
    </row>
    <row r="683" spans="1:23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2"/>
      <c r="P683" s="1"/>
      <c r="Q683" s="1"/>
      <c r="R683" s="1"/>
      <c r="S683" s="1"/>
      <c r="T683" s="1"/>
      <c r="U683" s="1"/>
      <c r="V683" s="1"/>
      <c r="W683" s="1"/>
    </row>
    <row r="684" spans="1:23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2"/>
      <c r="P684" s="1"/>
      <c r="Q684" s="1"/>
      <c r="R684" s="1"/>
      <c r="S684" s="1"/>
      <c r="T684" s="1"/>
      <c r="U684" s="1"/>
      <c r="V684" s="1"/>
      <c r="W684" s="1"/>
    </row>
    <row r="685" spans="1:23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2"/>
      <c r="P685" s="1"/>
      <c r="Q685" s="1"/>
      <c r="R685" s="1"/>
      <c r="S685" s="1"/>
      <c r="T685" s="1"/>
      <c r="U685" s="1"/>
      <c r="V685" s="1"/>
      <c r="W685" s="1"/>
    </row>
    <row r="686" spans="1:23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2"/>
      <c r="P686" s="1"/>
      <c r="Q686" s="1"/>
      <c r="R686" s="1"/>
      <c r="S686" s="1"/>
      <c r="T686" s="1"/>
      <c r="U686" s="1"/>
      <c r="V686" s="1"/>
      <c r="W686" s="1"/>
    </row>
    <row r="687" spans="1:23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2"/>
      <c r="P687" s="1"/>
      <c r="Q687" s="1"/>
      <c r="R687" s="1"/>
      <c r="S687" s="1"/>
      <c r="T687" s="1"/>
      <c r="U687" s="1"/>
      <c r="V687" s="1"/>
      <c r="W687" s="1"/>
    </row>
    <row r="688" spans="1:23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2"/>
      <c r="P688" s="1"/>
      <c r="Q688" s="1"/>
      <c r="R688" s="1"/>
      <c r="S688" s="1"/>
      <c r="T688" s="1"/>
      <c r="U688" s="1"/>
      <c r="V688" s="1"/>
      <c r="W688" s="1"/>
    </row>
    <row r="689" spans="1:23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2"/>
      <c r="P689" s="1"/>
      <c r="Q689" s="1"/>
      <c r="R689" s="1"/>
      <c r="S689" s="1"/>
      <c r="T689" s="1"/>
      <c r="U689" s="1"/>
      <c r="V689" s="1"/>
      <c r="W689" s="1"/>
    </row>
    <row r="690" spans="1:23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2"/>
      <c r="P690" s="1"/>
      <c r="Q690" s="1"/>
      <c r="R690" s="1"/>
      <c r="S690" s="1"/>
      <c r="T690" s="1"/>
      <c r="U690" s="1"/>
      <c r="V690" s="1"/>
      <c r="W690" s="1"/>
    </row>
    <row r="691" spans="1:23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2"/>
      <c r="P691" s="1"/>
      <c r="Q691" s="1"/>
      <c r="R691" s="1"/>
      <c r="S691" s="1"/>
      <c r="T691" s="1"/>
      <c r="U691" s="1"/>
      <c r="V691" s="1"/>
      <c r="W691" s="1"/>
    </row>
    <row r="692" spans="1:23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2"/>
      <c r="P692" s="1"/>
      <c r="Q692" s="1"/>
      <c r="R692" s="1"/>
      <c r="S692" s="1"/>
      <c r="T692" s="1"/>
      <c r="U692" s="1"/>
      <c r="V692" s="1"/>
      <c r="W692" s="1"/>
    </row>
    <row r="693" spans="1:23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2"/>
      <c r="P693" s="1"/>
      <c r="Q693" s="1"/>
      <c r="R693" s="1"/>
      <c r="S693" s="1"/>
      <c r="T693" s="1"/>
      <c r="U693" s="1"/>
      <c r="V693" s="1"/>
      <c r="W693" s="1"/>
    </row>
    <row r="694" spans="1:23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2"/>
      <c r="P694" s="1"/>
      <c r="Q694" s="1"/>
      <c r="R694" s="1"/>
      <c r="S694" s="1"/>
      <c r="T694" s="1"/>
      <c r="U694" s="1"/>
      <c r="V694" s="1"/>
      <c r="W694" s="1"/>
    </row>
    <row r="695" spans="1:23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2"/>
      <c r="P695" s="1"/>
      <c r="Q695" s="1"/>
      <c r="R695" s="1"/>
      <c r="S695" s="1"/>
      <c r="T695" s="1"/>
      <c r="U695" s="1"/>
      <c r="V695" s="1"/>
      <c r="W695" s="1"/>
    </row>
    <row r="696" spans="1:23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2"/>
      <c r="P696" s="1"/>
      <c r="Q696" s="1"/>
      <c r="R696" s="1"/>
      <c r="S696" s="1"/>
      <c r="T696" s="1"/>
      <c r="U696" s="1"/>
      <c r="V696" s="1"/>
      <c r="W696" s="1"/>
    </row>
    <row r="697" spans="1:23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2"/>
      <c r="P697" s="1"/>
      <c r="Q697" s="1"/>
      <c r="R697" s="1"/>
      <c r="S697" s="1"/>
      <c r="T697" s="1"/>
      <c r="U697" s="1"/>
      <c r="V697" s="1"/>
      <c r="W697" s="1"/>
    </row>
    <row r="698" spans="1:23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2"/>
      <c r="P698" s="1"/>
      <c r="Q698" s="1"/>
      <c r="R698" s="1"/>
      <c r="S698" s="1"/>
      <c r="T698" s="1"/>
      <c r="U698" s="1"/>
      <c r="V698" s="1"/>
      <c r="W698" s="1"/>
    </row>
    <row r="699" spans="1:23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2"/>
      <c r="P699" s="1"/>
      <c r="Q699" s="1"/>
      <c r="R699" s="1"/>
      <c r="S699" s="1"/>
      <c r="T699" s="1"/>
      <c r="U699" s="1"/>
      <c r="V699" s="1"/>
      <c r="W699" s="1"/>
    </row>
    <row r="700" spans="1:23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2"/>
      <c r="P700" s="1"/>
      <c r="Q700" s="1"/>
      <c r="R700" s="1"/>
      <c r="S700" s="1"/>
      <c r="T700" s="1"/>
      <c r="U700" s="1"/>
      <c r="V700" s="1"/>
      <c r="W700" s="1"/>
    </row>
    <row r="701" spans="1:23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2"/>
      <c r="P701" s="1"/>
      <c r="Q701" s="1"/>
      <c r="R701" s="1"/>
      <c r="S701" s="1"/>
      <c r="T701" s="1"/>
      <c r="U701" s="1"/>
      <c r="V701" s="1"/>
      <c r="W701" s="1"/>
    </row>
    <row r="702" spans="1:23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2"/>
      <c r="P702" s="1"/>
      <c r="Q702" s="1"/>
      <c r="R702" s="1"/>
      <c r="S702" s="1"/>
      <c r="T702" s="1"/>
      <c r="U702" s="1"/>
      <c r="V702" s="1"/>
      <c r="W702" s="1"/>
    </row>
    <row r="703" spans="1:23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2"/>
      <c r="P703" s="1"/>
      <c r="Q703" s="1"/>
      <c r="R703" s="1"/>
      <c r="S703" s="1"/>
      <c r="T703" s="1"/>
      <c r="U703" s="1"/>
      <c r="V703" s="1"/>
      <c r="W703" s="1"/>
    </row>
    <row r="704" spans="1:23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2"/>
      <c r="P704" s="1"/>
      <c r="Q704" s="1"/>
      <c r="R704" s="1"/>
      <c r="S704" s="1"/>
      <c r="T704" s="1"/>
      <c r="U704" s="1"/>
      <c r="V704" s="1"/>
      <c r="W704" s="1"/>
    </row>
    <row r="705" spans="1:23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2"/>
      <c r="P705" s="1"/>
      <c r="Q705" s="1"/>
      <c r="R705" s="1"/>
      <c r="S705" s="1"/>
      <c r="T705" s="1"/>
      <c r="U705" s="1"/>
      <c r="V705" s="1"/>
      <c r="W705" s="1"/>
    </row>
    <row r="706" spans="1:23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2"/>
      <c r="P706" s="1"/>
      <c r="Q706" s="1"/>
      <c r="R706" s="1"/>
      <c r="S706" s="1"/>
      <c r="T706" s="1"/>
      <c r="U706" s="1"/>
      <c r="V706" s="1"/>
      <c r="W706" s="1"/>
    </row>
    <row r="707" spans="1:23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2"/>
      <c r="P707" s="1"/>
      <c r="Q707" s="1"/>
      <c r="R707" s="1"/>
      <c r="S707" s="1"/>
      <c r="T707" s="1"/>
      <c r="U707" s="1"/>
      <c r="V707" s="1"/>
      <c r="W707" s="1"/>
    </row>
    <row r="708" spans="1:23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2"/>
      <c r="P708" s="1"/>
      <c r="Q708" s="1"/>
      <c r="R708" s="1"/>
      <c r="S708" s="1"/>
      <c r="T708" s="1"/>
      <c r="U708" s="1"/>
      <c r="V708" s="1"/>
      <c r="W708" s="1"/>
    </row>
    <row r="709" spans="1:23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2"/>
      <c r="P709" s="1"/>
      <c r="Q709" s="1"/>
      <c r="R709" s="1"/>
      <c r="S709" s="1"/>
      <c r="T709" s="1"/>
      <c r="U709" s="1"/>
      <c r="V709" s="1"/>
      <c r="W709" s="1"/>
    </row>
    <row r="710" spans="1:23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2"/>
      <c r="P710" s="1"/>
      <c r="Q710" s="1"/>
      <c r="R710" s="1"/>
      <c r="S710" s="1"/>
      <c r="T710" s="1"/>
      <c r="U710" s="1"/>
      <c r="V710" s="1"/>
      <c r="W710" s="1"/>
    </row>
    <row r="711" spans="1:23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2"/>
      <c r="P711" s="1"/>
      <c r="Q711" s="1"/>
      <c r="R711" s="1"/>
      <c r="S711" s="1"/>
      <c r="T711" s="1"/>
      <c r="U711" s="1"/>
      <c r="V711" s="1"/>
      <c r="W711" s="1"/>
    </row>
    <row r="712" spans="1:23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2"/>
      <c r="P712" s="1"/>
      <c r="Q712" s="1"/>
      <c r="R712" s="1"/>
      <c r="S712" s="1"/>
      <c r="T712" s="1"/>
      <c r="U712" s="1"/>
      <c r="V712" s="1"/>
      <c r="W712" s="1"/>
    </row>
    <row r="713" spans="1:23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2"/>
      <c r="P713" s="1"/>
      <c r="Q713" s="1"/>
      <c r="R713" s="1"/>
      <c r="S713" s="1"/>
      <c r="T713" s="1"/>
      <c r="U713" s="1"/>
      <c r="V713" s="1"/>
      <c r="W713" s="1"/>
    </row>
    <row r="714" spans="1:23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2"/>
      <c r="P714" s="1"/>
      <c r="Q714" s="1"/>
      <c r="R714" s="1"/>
      <c r="S714" s="1"/>
      <c r="T714" s="1"/>
      <c r="U714" s="1"/>
      <c r="V714" s="1"/>
      <c r="W714" s="1"/>
    </row>
    <row r="715" spans="1:23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2"/>
      <c r="P715" s="1"/>
      <c r="Q715" s="1"/>
      <c r="R715" s="1"/>
      <c r="S715" s="1"/>
      <c r="T715" s="1"/>
      <c r="U715" s="1"/>
      <c r="V715" s="1"/>
      <c r="W715" s="1"/>
    </row>
    <row r="716" spans="1:23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2"/>
      <c r="P716" s="1"/>
      <c r="Q716" s="1"/>
      <c r="R716" s="1"/>
      <c r="S716" s="1"/>
      <c r="T716" s="1"/>
      <c r="U716" s="1"/>
      <c r="V716" s="1"/>
      <c r="W716" s="1"/>
    </row>
    <row r="717" spans="1:23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2"/>
      <c r="P717" s="1"/>
      <c r="Q717" s="1"/>
      <c r="R717" s="1"/>
      <c r="S717" s="1"/>
      <c r="T717" s="1"/>
      <c r="U717" s="1"/>
      <c r="V717" s="1"/>
      <c r="W717" s="1"/>
    </row>
    <row r="718" spans="1:23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2"/>
      <c r="P718" s="1"/>
      <c r="Q718" s="1"/>
      <c r="R718" s="1"/>
      <c r="S718" s="1"/>
      <c r="T718" s="1"/>
      <c r="U718" s="1"/>
      <c r="V718" s="1"/>
      <c r="W718" s="1"/>
    </row>
    <row r="719" spans="1:23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2"/>
      <c r="P719" s="1"/>
      <c r="Q719" s="1"/>
      <c r="R719" s="1"/>
      <c r="S719" s="1"/>
      <c r="T719" s="1"/>
      <c r="U719" s="1"/>
      <c r="V719" s="1"/>
      <c r="W719" s="1"/>
    </row>
    <row r="720" spans="1:23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2"/>
      <c r="P720" s="1"/>
      <c r="Q720" s="1"/>
      <c r="R720" s="1"/>
      <c r="S720" s="1"/>
      <c r="T720" s="1"/>
      <c r="U720" s="1"/>
      <c r="V720" s="1"/>
      <c r="W720" s="1"/>
    </row>
    <row r="721" spans="1:23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2"/>
      <c r="P721" s="1"/>
      <c r="Q721" s="1"/>
      <c r="R721" s="1"/>
      <c r="S721" s="1"/>
      <c r="T721" s="1"/>
      <c r="U721" s="1"/>
      <c r="V721" s="1"/>
      <c r="W721" s="1"/>
    </row>
    <row r="722" spans="1:23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2"/>
      <c r="P722" s="1"/>
      <c r="Q722" s="1"/>
      <c r="R722" s="1"/>
      <c r="S722" s="1"/>
      <c r="T722" s="1"/>
      <c r="U722" s="1"/>
      <c r="V722" s="1"/>
      <c r="W722" s="1"/>
    </row>
    <row r="723" spans="1:23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2"/>
      <c r="P723" s="1"/>
      <c r="Q723" s="1"/>
      <c r="R723" s="1"/>
      <c r="S723" s="1"/>
      <c r="T723" s="1"/>
      <c r="U723" s="1"/>
      <c r="V723" s="1"/>
      <c r="W723" s="1"/>
    </row>
    <row r="724" spans="1:23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2"/>
      <c r="P724" s="1"/>
      <c r="Q724" s="1"/>
      <c r="R724" s="1"/>
      <c r="S724" s="1"/>
      <c r="T724" s="1"/>
      <c r="U724" s="1"/>
      <c r="V724" s="1"/>
      <c r="W724" s="1"/>
    </row>
    <row r="725" spans="1:23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2"/>
      <c r="P725" s="1"/>
      <c r="Q725" s="1"/>
      <c r="R725" s="1"/>
      <c r="S725" s="1"/>
      <c r="T725" s="1"/>
      <c r="U725" s="1"/>
      <c r="V725" s="1"/>
      <c r="W725" s="1"/>
    </row>
    <row r="726" spans="1:23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2"/>
      <c r="P726" s="1"/>
      <c r="Q726" s="1"/>
      <c r="R726" s="1"/>
      <c r="S726" s="1"/>
      <c r="T726" s="1"/>
      <c r="U726" s="1"/>
      <c r="V726" s="1"/>
      <c r="W726" s="1"/>
    </row>
    <row r="727" spans="1:23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2"/>
      <c r="P727" s="1"/>
      <c r="Q727" s="1"/>
      <c r="R727" s="1"/>
      <c r="S727" s="1"/>
      <c r="T727" s="1"/>
      <c r="U727" s="1"/>
      <c r="V727" s="1"/>
      <c r="W727" s="1"/>
    </row>
    <row r="728" spans="1:23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2"/>
      <c r="P728" s="1"/>
      <c r="Q728" s="1"/>
      <c r="R728" s="1"/>
      <c r="S728" s="1"/>
      <c r="T728" s="1"/>
      <c r="U728" s="1"/>
      <c r="V728" s="1"/>
      <c r="W728" s="1"/>
    </row>
    <row r="729" spans="1:23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2"/>
      <c r="P729" s="1"/>
      <c r="Q729" s="1"/>
      <c r="R729" s="1"/>
      <c r="S729" s="1"/>
      <c r="T729" s="1"/>
      <c r="U729" s="1"/>
      <c r="V729" s="1"/>
      <c r="W729" s="1"/>
    </row>
    <row r="730" spans="1:23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2"/>
      <c r="P730" s="1"/>
      <c r="Q730" s="1"/>
      <c r="R730" s="1"/>
      <c r="S730" s="1"/>
      <c r="T730" s="1"/>
      <c r="U730" s="1"/>
      <c r="V730" s="1"/>
      <c r="W730" s="1"/>
    </row>
    <row r="731" spans="1:23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2"/>
      <c r="P731" s="1"/>
      <c r="Q731" s="1"/>
      <c r="R731" s="1"/>
      <c r="S731" s="1"/>
      <c r="T731" s="1"/>
      <c r="U731" s="1"/>
      <c r="V731" s="1"/>
      <c r="W731" s="1"/>
    </row>
    <row r="732" spans="1:23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2"/>
      <c r="P732" s="1"/>
      <c r="Q732" s="1"/>
      <c r="R732" s="1"/>
      <c r="S732" s="1"/>
      <c r="T732" s="1"/>
      <c r="U732" s="1"/>
      <c r="V732" s="1"/>
      <c r="W732" s="1"/>
    </row>
    <row r="733" spans="1:23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2"/>
      <c r="P733" s="1"/>
      <c r="Q733" s="1"/>
      <c r="R733" s="1"/>
      <c r="S733" s="1"/>
      <c r="T733" s="1"/>
      <c r="U733" s="1"/>
      <c r="V733" s="1"/>
      <c r="W733" s="1"/>
    </row>
    <row r="734" spans="1:23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2"/>
      <c r="P734" s="1"/>
      <c r="Q734" s="1"/>
      <c r="R734" s="1"/>
      <c r="S734" s="1"/>
      <c r="T734" s="1"/>
      <c r="U734" s="1"/>
      <c r="V734" s="1"/>
      <c r="W734" s="1"/>
    </row>
    <row r="735" spans="1:23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2"/>
      <c r="P735" s="1"/>
      <c r="Q735" s="1"/>
      <c r="R735" s="1"/>
      <c r="S735" s="1"/>
      <c r="T735" s="1"/>
      <c r="U735" s="1"/>
      <c r="V735" s="1"/>
      <c r="W735" s="1"/>
    </row>
    <row r="736" spans="1:23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2"/>
      <c r="P736" s="1"/>
      <c r="Q736" s="1"/>
      <c r="R736" s="1"/>
      <c r="S736" s="1"/>
      <c r="T736" s="1"/>
      <c r="U736" s="1"/>
      <c r="V736" s="1"/>
      <c r="W736" s="1"/>
    </row>
    <row r="737" spans="1:23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2"/>
      <c r="P737" s="1"/>
      <c r="Q737" s="1"/>
      <c r="R737" s="1"/>
      <c r="S737" s="1"/>
      <c r="T737" s="1"/>
      <c r="U737" s="1"/>
      <c r="V737" s="1"/>
      <c r="W737" s="1"/>
    </row>
    <row r="738" spans="1:23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2"/>
      <c r="P738" s="1"/>
      <c r="Q738" s="1"/>
      <c r="R738" s="1"/>
      <c r="S738" s="1"/>
      <c r="T738" s="1"/>
      <c r="U738" s="1"/>
      <c r="V738" s="1"/>
      <c r="W738" s="1"/>
    </row>
    <row r="739" spans="1:23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2"/>
      <c r="P739" s="1"/>
      <c r="Q739" s="1"/>
      <c r="R739" s="1"/>
      <c r="S739" s="1"/>
      <c r="T739" s="1"/>
      <c r="U739" s="1"/>
      <c r="V739" s="1"/>
      <c r="W739" s="1"/>
    </row>
    <row r="740" spans="1:23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2"/>
      <c r="P740" s="1"/>
      <c r="Q740" s="1"/>
      <c r="R740" s="1"/>
      <c r="S740" s="1"/>
      <c r="T740" s="1"/>
      <c r="U740" s="1"/>
      <c r="V740" s="1"/>
      <c r="W740" s="1"/>
    </row>
    <row r="741" spans="1:23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2"/>
      <c r="P741" s="1"/>
      <c r="Q741" s="1"/>
      <c r="R741" s="1"/>
      <c r="S741" s="1"/>
      <c r="T741" s="1"/>
      <c r="U741" s="1"/>
      <c r="V741" s="1"/>
      <c r="W741" s="1"/>
    </row>
    <row r="742" spans="1:23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2"/>
      <c r="P742" s="1"/>
      <c r="Q742" s="1"/>
      <c r="R742" s="1"/>
      <c r="S742" s="1"/>
      <c r="T742" s="1"/>
      <c r="U742" s="1"/>
      <c r="V742" s="1"/>
      <c r="W742" s="1"/>
    </row>
    <row r="743" spans="1:23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2"/>
      <c r="P743" s="1"/>
      <c r="Q743" s="1"/>
      <c r="R743" s="1"/>
      <c r="S743" s="1"/>
      <c r="T743" s="1"/>
      <c r="U743" s="1"/>
      <c r="V743" s="1"/>
      <c r="W743" s="1"/>
    </row>
    <row r="744" spans="1:23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2"/>
      <c r="P744" s="1"/>
      <c r="Q744" s="1"/>
      <c r="R744" s="1"/>
      <c r="S744" s="1"/>
      <c r="T744" s="1"/>
      <c r="U744" s="1"/>
      <c r="V744" s="1"/>
      <c r="W744" s="1"/>
    </row>
    <row r="745" spans="1:23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2"/>
      <c r="P745" s="1"/>
      <c r="Q745" s="1"/>
      <c r="R745" s="1"/>
      <c r="S745" s="1"/>
      <c r="T745" s="1"/>
      <c r="U745" s="1"/>
      <c r="V745" s="1"/>
      <c r="W745" s="1"/>
    </row>
    <row r="746" spans="1:23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2"/>
      <c r="P746" s="1"/>
      <c r="Q746" s="1"/>
      <c r="R746" s="1"/>
      <c r="S746" s="1"/>
      <c r="T746" s="1"/>
      <c r="U746" s="1"/>
      <c r="V746" s="1"/>
      <c r="W746" s="1"/>
    </row>
    <row r="747" spans="1:23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2"/>
      <c r="P747" s="1"/>
      <c r="Q747" s="1"/>
      <c r="R747" s="1"/>
      <c r="S747" s="1"/>
      <c r="T747" s="1"/>
      <c r="U747" s="1"/>
      <c r="V747" s="1"/>
      <c r="W747" s="1"/>
    </row>
    <row r="748" spans="1:23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2"/>
      <c r="P748" s="1"/>
      <c r="Q748" s="1"/>
      <c r="R748" s="1"/>
      <c r="S748" s="1"/>
      <c r="T748" s="1"/>
      <c r="U748" s="1"/>
      <c r="V748" s="1"/>
      <c r="W748" s="1"/>
    </row>
    <row r="749" spans="1:23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2"/>
      <c r="P749" s="1"/>
      <c r="Q749" s="1"/>
      <c r="R749" s="1"/>
      <c r="S749" s="1"/>
      <c r="T749" s="1"/>
      <c r="U749" s="1"/>
      <c r="V749" s="1"/>
      <c r="W749" s="1"/>
    </row>
    <row r="750" spans="1:23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2"/>
      <c r="P750" s="1"/>
      <c r="Q750" s="1"/>
      <c r="R750" s="1"/>
      <c r="S750" s="1"/>
      <c r="T750" s="1"/>
      <c r="U750" s="1"/>
      <c r="V750" s="1"/>
      <c r="W750" s="1"/>
    </row>
    <row r="751" spans="1:23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2"/>
      <c r="P751" s="1"/>
      <c r="Q751" s="1"/>
      <c r="R751" s="1"/>
      <c r="S751" s="1"/>
      <c r="T751" s="1"/>
      <c r="U751" s="1"/>
      <c r="V751" s="1"/>
      <c r="W751" s="1"/>
    </row>
    <row r="752" spans="1:23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2"/>
      <c r="P752" s="1"/>
      <c r="Q752" s="1"/>
      <c r="R752" s="1"/>
      <c r="S752" s="1"/>
      <c r="T752" s="1"/>
      <c r="U752" s="1"/>
      <c r="V752" s="1"/>
      <c r="W752" s="1"/>
    </row>
    <row r="753" spans="1:23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2"/>
      <c r="P753" s="1"/>
      <c r="Q753" s="1"/>
      <c r="R753" s="1"/>
      <c r="S753" s="1"/>
      <c r="T753" s="1"/>
      <c r="U753" s="1"/>
      <c r="V753" s="1"/>
      <c r="W753" s="1"/>
    </row>
    <row r="754" spans="1:23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2"/>
      <c r="P754" s="1"/>
      <c r="Q754" s="1"/>
      <c r="R754" s="1"/>
      <c r="S754" s="1"/>
      <c r="T754" s="1"/>
      <c r="U754" s="1"/>
      <c r="V754" s="1"/>
      <c r="W754" s="1"/>
    </row>
    <row r="755" spans="1:23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2"/>
      <c r="P755" s="1"/>
      <c r="Q755" s="1"/>
      <c r="R755" s="1"/>
      <c r="S755" s="1"/>
      <c r="T755" s="1"/>
      <c r="U755" s="1"/>
      <c r="V755" s="1"/>
      <c r="W755" s="1"/>
    </row>
    <row r="756" spans="1:23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2"/>
      <c r="P756" s="1"/>
      <c r="Q756" s="1"/>
      <c r="R756" s="1"/>
      <c r="S756" s="1"/>
      <c r="T756" s="1"/>
      <c r="U756" s="1"/>
      <c r="V756" s="1"/>
      <c r="W756" s="1"/>
    </row>
    <row r="757" spans="1:23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2"/>
      <c r="P757" s="1"/>
      <c r="Q757" s="1"/>
      <c r="R757" s="1"/>
      <c r="S757" s="1"/>
      <c r="T757" s="1"/>
      <c r="U757" s="1"/>
      <c r="V757" s="1"/>
      <c r="W757" s="1"/>
    </row>
    <row r="758" spans="1:23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2"/>
      <c r="P758" s="1"/>
      <c r="Q758" s="1"/>
      <c r="R758" s="1"/>
      <c r="S758" s="1"/>
      <c r="T758" s="1"/>
      <c r="U758" s="1"/>
      <c r="V758" s="1"/>
      <c r="W758" s="1"/>
    </row>
    <row r="759" spans="1:23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2"/>
      <c r="P759" s="1"/>
      <c r="Q759" s="1"/>
      <c r="R759" s="1"/>
      <c r="S759" s="1"/>
      <c r="T759" s="1"/>
      <c r="U759" s="1"/>
      <c r="V759" s="1"/>
      <c r="W759" s="1"/>
    </row>
    <row r="760" spans="1:23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2"/>
      <c r="P760" s="1"/>
      <c r="Q760" s="1"/>
      <c r="R760" s="1"/>
      <c r="S760" s="1"/>
      <c r="T760" s="1"/>
      <c r="U760" s="1"/>
      <c r="V760" s="1"/>
      <c r="W760" s="1"/>
    </row>
    <row r="761" spans="1:23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2"/>
      <c r="P761" s="1"/>
      <c r="Q761" s="1"/>
      <c r="R761" s="1"/>
      <c r="S761" s="1"/>
      <c r="T761" s="1"/>
      <c r="U761" s="1"/>
      <c r="V761" s="1"/>
      <c r="W761" s="1"/>
    </row>
    <row r="762" spans="1:23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2"/>
      <c r="P762" s="1"/>
      <c r="Q762" s="1"/>
      <c r="R762" s="1"/>
      <c r="S762" s="1"/>
      <c r="T762" s="1"/>
      <c r="U762" s="1"/>
      <c r="V762" s="1"/>
      <c r="W762" s="1"/>
    </row>
    <row r="763" spans="1:23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2"/>
      <c r="P763" s="1"/>
      <c r="Q763" s="1"/>
      <c r="R763" s="1"/>
      <c r="S763" s="1"/>
      <c r="T763" s="1"/>
      <c r="U763" s="1"/>
      <c r="V763" s="1"/>
      <c r="W763" s="1"/>
    </row>
    <row r="764" spans="1:23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2"/>
      <c r="P764" s="1"/>
      <c r="Q764" s="1"/>
      <c r="R764" s="1"/>
      <c r="S764" s="1"/>
      <c r="T764" s="1"/>
      <c r="U764" s="1"/>
      <c r="V764" s="1"/>
      <c r="W764" s="1"/>
    </row>
    <row r="765" spans="1:23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2"/>
      <c r="P765" s="1"/>
      <c r="Q765" s="1"/>
      <c r="R765" s="1"/>
      <c r="S765" s="1"/>
      <c r="T765" s="1"/>
      <c r="U765" s="1"/>
      <c r="V765" s="1"/>
      <c r="W765" s="1"/>
    </row>
    <row r="766" spans="1:23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2"/>
      <c r="P766" s="1"/>
      <c r="Q766" s="1"/>
      <c r="R766" s="1"/>
      <c r="S766" s="1"/>
      <c r="T766" s="1"/>
      <c r="U766" s="1"/>
      <c r="V766" s="1"/>
      <c r="W766" s="1"/>
    </row>
    <row r="767" spans="1:23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2"/>
      <c r="P767" s="1"/>
      <c r="Q767" s="1"/>
      <c r="R767" s="1"/>
      <c r="S767" s="1"/>
      <c r="T767" s="1"/>
      <c r="U767" s="1"/>
      <c r="V767" s="1"/>
      <c r="W767" s="1"/>
    </row>
    <row r="768" spans="1:23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2"/>
      <c r="P768" s="1"/>
      <c r="Q768" s="1"/>
      <c r="R768" s="1"/>
      <c r="S768" s="1"/>
      <c r="T768" s="1"/>
      <c r="U768" s="1"/>
      <c r="V768" s="1"/>
      <c r="W768" s="1"/>
    </row>
    <row r="769" spans="1:23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2"/>
      <c r="P769" s="1"/>
      <c r="Q769" s="1"/>
      <c r="R769" s="1"/>
      <c r="S769" s="1"/>
      <c r="T769" s="1"/>
      <c r="U769" s="1"/>
      <c r="V769" s="1"/>
      <c r="W769" s="1"/>
    </row>
    <row r="770" spans="1:23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2"/>
      <c r="P770" s="1"/>
      <c r="Q770" s="1"/>
      <c r="R770" s="1"/>
      <c r="S770" s="1"/>
      <c r="T770" s="1"/>
      <c r="U770" s="1"/>
      <c r="V770" s="1"/>
      <c r="W770" s="1"/>
    </row>
    <row r="771" spans="1:23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2"/>
      <c r="P771" s="1"/>
      <c r="Q771" s="1"/>
      <c r="R771" s="1"/>
      <c r="S771" s="1"/>
      <c r="T771" s="1"/>
      <c r="U771" s="1"/>
      <c r="V771" s="1"/>
      <c r="W771" s="1"/>
    </row>
    <row r="772" spans="1:23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2"/>
      <c r="P772" s="1"/>
      <c r="Q772" s="1"/>
      <c r="R772" s="1"/>
      <c r="S772" s="1"/>
      <c r="T772" s="1"/>
      <c r="U772" s="1"/>
      <c r="V772" s="1"/>
      <c r="W772" s="1"/>
    </row>
    <row r="773" spans="1:23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2"/>
      <c r="P773" s="1"/>
      <c r="Q773" s="1"/>
      <c r="R773" s="1"/>
      <c r="S773" s="1"/>
      <c r="T773" s="1"/>
      <c r="U773" s="1"/>
      <c r="V773" s="1"/>
      <c r="W773" s="1"/>
    </row>
    <row r="774" spans="1:23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2"/>
      <c r="P774" s="1"/>
      <c r="Q774" s="1"/>
      <c r="R774" s="1"/>
      <c r="S774" s="1"/>
      <c r="T774" s="1"/>
      <c r="U774" s="1"/>
      <c r="V774" s="1"/>
      <c r="W774" s="1"/>
    </row>
    <row r="775" spans="1:23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2"/>
      <c r="P775" s="1"/>
      <c r="Q775" s="1"/>
      <c r="R775" s="1"/>
      <c r="S775" s="1"/>
      <c r="T775" s="1"/>
      <c r="U775" s="1"/>
      <c r="V775" s="1"/>
      <c r="W775" s="1"/>
    </row>
    <row r="776" spans="1:23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2"/>
      <c r="P776" s="1"/>
      <c r="Q776" s="1"/>
      <c r="R776" s="1"/>
      <c r="S776" s="1"/>
      <c r="T776" s="1"/>
      <c r="U776" s="1"/>
      <c r="V776" s="1"/>
      <c r="W776" s="1"/>
    </row>
    <row r="777" spans="1:23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2"/>
      <c r="P777" s="1"/>
      <c r="Q777" s="1"/>
      <c r="R777" s="1"/>
      <c r="S777" s="1"/>
      <c r="T777" s="1"/>
      <c r="U777" s="1"/>
      <c r="V777" s="1"/>
      <c r="W777" s="1"/>
    </row>
    <row r="778" spans="1:23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2"/>
      <c r="P778" s="1"/>
      <c r="Q778" s="1"/>
      <c r="R778" s="1"/>
      <c r="S778" s="1"/>
      <c r="T778" s="1"/>
      <c r="U778" s="1"/>
      <c r="V778" s="1"/>
      <c r="W778" s="1"/>
    </row>
    <row r="779" spans="1:23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2"/>
      <c r="P779" s="1"/>
      <c r="Q779" s="1"/>
      <c r="R779" s="1"/>
      <c r="S779" s="1"/>
      <c r="T779" s="1"/>
      <c r="U779" s="1"/>
      <c r="V779" s="1"/>
      <c r="W779" s="1"/>
    </row>
    <row r="780" spans="1:23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2"/>
      <c r="P780" s="1"/>
      <c r="Q780" s="1"/>
      <c r="R780" s="1"/>
      <c r="S780" s="1"/>
      <c r="T780" s="1"/>
      <c r="U780" s="1"/>
      <c r="V780" s="1"/>
      <c r="W780" s="1"/>
    </row>
    <row r="781" spans="1:23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2"/>
      <c r="P781" s="1"/>
      <c r="Q781" s="1"/>
      <c r="R781" s="1"/>
      <c r="S781" s="1"/>
      <c r="T781" s="1"/>
      <c r="U781" s="1"/>
      <c r="V781" s="1"/>
      <c r="W781" s="1"/>
    </row>
    <row r="782" spans="1:23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2"/>
      <c r="P782" s="1"/>
      <c r="Q782" s="1"/>
      <c r="R782" s="1"/>
      <c r="S782" s="1"/>
      <c r="T782" s="1"/>
      <c r="U782" s="1"/>
      <c r="V782" s="1"/>
      <c r="W782" s="1"/>
    </row>
    <row r="783" spans="1:23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2"/>
      <c r="P783" s="1"/>
      <c r="Q783" s="1"/>
      <c r="R783" s="1"/>
      <c r="S783" s="1"/>
      <c r="T783" s="1"/>
      <c r="U783" s="1"/>
      <c r="V783" s="1"/>
      <c r="W783" s="1"/>
    </row>
    <row r="784" spans="1:23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2"/>
      <c r="P784" s="1"/>
      <c r="Q784" s="1"/>
      <c r="R784" s="1"/>
      <c r="S784" s="1"/>
      <c r="T784" s="1"/>
      <c r="U784" s="1"/>
      <c r="V784" s="1"/>
      <c r="W784" s="1"/>
    </row>
    <row r="785" spans="1:23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2"/>
      <c r="P785" s="1"/>
      <c r="Q785" s="1"/>
      <c r="R785" s="1"/>
      <c r="S785" s="1"/>
      <c r="T785" s="1"/>
      <c r="U785" s="1"/>
      <c r="V785" s="1"/>
      <c r="W785" s="1"/>
    </row>
    <row r="786" spans="1:23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2"/>
      <c r="P786" s="1"/>
      <c r="Q786" s="1"/>
      <c r="R786" s="1"/>
      <c r="S786" s="1"/>
      <c r="T786" s="1"/>
      <c r="U786" s="1"/>
      <c r="V786" s="1"/>
      <c r="W786" s="1"/>
    </row>
    <row r="787" spans="1:23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2"/>
      <c r="P787" s="1"/>
      <c r="Q787" s="1"/>
      <c r="R787" s="1"/>
      <c r="S787" s="1"/>
      <c r="T787" s="1"/>
      <c r="U787" s="1"/>
      <c r="V787" s="1"/>
      <c r="W787" s="1"/>
    </row>
    <row r="788" spans="1:23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2"/>
      <c r="P788" s="1"/>
      <c r="Q788" s="1"/>
      <c r="R788" s="1"/>
      <c r="S788" s="1"/>
      <c r="T788" s="1"/>
      <c r="U788" s="1"/>
      <c r="V788" s="1"/>
      <c r="W788" s="1"/>
    </row>
    <row r="789" spans="1:23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2"/>
      <c r="P789" s="1"/>
      <c r="Q789" s="1"/>
      <c r="R789" s="1"/>
      <c r="S789" s="1"/>
      <c r="T789" s="1"/>
      <c r="U789" s="1"/>
      <c r="V789" s="1"/>
      <c r="W789" s="1"/>
    </row>
    <row r="790" spans="1:23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2"/>
      <c r="P790" s="1"/>
      <c r="Q790" s="1"/>
      <c r="R790" s="1"/>
      <c r="S790" s="1"/>
      <c r="T790" s="1"/>
      <c r="U790" s="1"/>
      <c r="V790" s="1"/>
      <c r="W790" s="1"/>
    </row>
    <row r="791" spans="1:23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2"/>
      <c r="P791" s="1"/>
      <c r="Q791" s="1"/>
      <c r="R791" s="1"/>
      <c r="S791" s="1"/>
      <c r="T791" s="1"/>
      <c r="U791" s="1"/>
      <c r="V791" s="1"/>
      <c r="W791" s="1"/>
    </row>
    <row r="792" spans="1:23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2"/>
      <c r="P792" s="1"/>
      <c r="Q792" s="1"/>
      <c r="R792" s="1"/>
      <c r="S792" s="1"/>
      <c r="T792" s="1"/>
      <c r="U792" s="1"/>
      <c r="V792" s="1"/>
      <c r="W792" s="1"/>
    </row>
    <row r="793" spans="1:23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2"/>
      <c r="P793" s="1"/>
      <c r="Q793" s="1"/>
      <c r="R793" s="1"/>
      <c r="S793" s="1"/>
      <c r="T793" s="1"/>
      <c r="U793" s="1"/>
      <c r="V793" s="1"/>
      <c r="W793" s="1"/>
    </row>
    <row r="794" spans="1:23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2"/>
      <c r="P794" s="1"/>
      <c r="Q794" s="1"/>
      <c r="R794" s="1"/>
      <c r="S794" s="1"/>
      <c r="T794" s="1"/>
      <c r="U794" s="1"/>
      <c r="V794" s="1"/>
      <c r="W794" s="1"/>
    </row>
    <row r="795" spans="1:23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2"/>
      <c r="P795" s="1"/>
      <c r="Q795" s="1"/>
      <c r="R795" s="1"/>
      <c r="S795" s="1"/>
      <c r="T795" s="1"/>
      <c r="U795" s="1"/>
      <c r="V795" s="1"/>
      <c r="W795" s="1"/>
    </row>
    <row r="796" spans="1:23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2"/>
      <c r="P796" s="1"/>
      <c r="Q796" s="1"/>
      <c r="R796" s="1"/>
      <c r="S796" s="1"/>
      <c r="T796" s="1"/>
      <c r="U796" s="1"/>
      <c r="V796" s="1"/>
      <c r="W796" s="1"/>
    </row>
    <row r="797" spans="1:23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2"/>
      <c r="P797" s="1"/>
      <c r="Q797" s="1"/>
      <c r="R797" s="1"/>
      <c r="S797" s="1"/>
      <c r="T797" s="1"/>
      <c r="U797" s="1"/>
      <c r="V797" s="1"/>
      <c r="W797" s="1"/>
    </row>
    <row r="798" spans="1:23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2"/>
      <c r="P798" s="1"/>
      <c r="Q798" s="1"/>
      <c r="R798" s="1"/>
      <c r="S798" s="1"/>
      <c r="T798" s="1"/>
      <c r="U798" s="1"/>
      <c r="V798" s="1"/>
      <c r="W798" s="1"/>
    </row>
    <row r="799" spans="1:23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2"/>
      <c r="P799" s="1"/>
      <c r="Q799" s="1"/>
      <c r="R799" s="1"/>
      <c r="S799" s="1"/>
      <c r="T799" s="1"/>
      <c r="U799" s="1"/>
      <c r="V799" s="1"/>
      <c r="W799" s="1"/>
    </row>
    <row r="800" spans="1:23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2"/>
      <c r="P800" s="1"/>
      <c r="Q800" s="1"/>
      <c r="R800" s="1"/>
      <c r="S800" s="1"/>
      <c r="T800" s="1"/>
      <c r="U800" s="1"/>
      <c r="V800" s="1"/>
      <c r="W800" s="1"/>
    </row>
    <row r="801" spans="1:23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2"/>
      <c r="P801" s="1"/>
      <c r="Q801" s="1"/>
      <c r="R801" s="1"/>
      <c r="S801" s="1"/>
      <c r="T801" s="1"/>
      <c r="U801" s="1"/>
      <c r="V801" s="1"/>
      <c r="W801" s="1"/>
    </row>
    <row r="802" spans="1:23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2"/>
      <c r="P802" s="1"/>
      <c r="Q802" s="1"/>
      <c r="R802" s="1"/>
      <c r="S802" s="1"/>
      <c r="T802" s="1"/>
      <c r="U802" s="1"/>
      <c r="V802" s="1"/>
      <c r="W802" s="1"/>
    </row>
    <row r="803" spans="1:23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2"/>
      <c r="P803" s="1"/>
      <c r="Q803" s="1"/>
      <c r="R803" s="1"/>
      <c r="S803" s="1"/>
      <c r="T803" s="1"/>
      <c r="U803" s="1"/>
      <c r="V803" s="1"/>
      <c r="W803" s="1"/>
    </row>
    <row r="804" spans="1:23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2"/>
      <c r="P804" s="1"/>
      <c r="Q804" s="1"/>
      <c r="R804" s="1"/>
      <c r="S804" s="1"/>
      <c r="T804" s="1"/>
      <c r="U804" s="1"/>
      <c r="V804" s="1"/>
      <c r="W804" s="1"/>
    </row>
    <row r="805" spans="1:23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2"/>
      <c r="P805" s="1"/>
      <c r="Q805" s="1"/>
      <c r="R805" s="1"/>
      <c r="S805" s="1"/>
      <c r="T805" s="1"/>
      <c r="U805" s="1"/>
      <c r="V805" s="1"/>
      <c r="W805" s="1"/>
    </row>
    <row r="806" spans="1:23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2"/>
      <c r="P806" s="1"/>
      <c r="Q806" s="1"/>
      <c r="R806" s="1"/>
      <c r="S806" s="1"/>
      <c r="T806" s="1"/>
      <c r="U806" s="1"/>
      <c r="V806" s="1"/>
      <c r="W806" s="1"/>
    </row>
    <row r="807" spans="1:23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2"/>
      <c r="P807" s="1"/>
      <c r="Q807" s="1"/>
      <c r="R807" s="1"/>
      <c r="S807" s="1"/>
      <c r="T807" s="1"/>
      <c r="U807" s="1"/>
      <c r="V807" s="1"/>
      <c r="W807" s="1"/>
    </row>
    <row r="808" spans="1:23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2"/>
      <c r="P808" s="1"/>
      <c r="Q808" s="1"/>
      <c r="R808" s="1"/>
      <c r="S808" s="1"/>
      <c r="T808" s="1"/>
      <c r="U808" s="1"/>
      <c r="V808" s="1"/>
      <c r="W808" s="1"/>
    </row>
    <row r="809" spans="1:23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2"/>
      <c r="P809" s="1"/>
      <c r="Q809" s="1"/>
      <c r="R809" s="1"/>
      <c r="S809" s="1"/>
      <c r="T809" s="1"/>
      <c r="U809" s="1"/>
      <c r="V809" s="1"/>
      <c r="W809" s="1"/>
    </row>
    <row r="810" spans="1:23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2"/>
      <c r="P810" s="1"/>
      <c r="Q810" s="1"/>
      <c r="R810" s="1"/>
      <c r="S810" s="1"/>
      <c r="T810" s="1"/>
      <c r="U810" s="1"/>
      <c r="V810" s="1"/>
      <c r="W810" s="1"/>
    </row>
    <row r="811" spans="1:23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2"/>
      <c r="P811" s="1"/>
      <c r="Q811" s="1"/>
      <c r="R811" s="1"/>
      <c r="S811" s="1"/>
      <c r="T811" s="1"/>
      <c r="U811" s="1"/>
      <c r="V811" s="1"/>
      <c r="W811" s="1"/>
    </row>
    <row r="812" spans="1:23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2"/>
      <c r="P812" s="1"/>
      <c r="Q812" s="1"/>
      <c r="R812" s="1"/>
      <c r="S812" s="1"/>
      <c r="T812" s="1"/>
      <c r="U812" s="1"/>
      <c r="V812" s="1"/>
      <c r="W812" s="1"/>
    </row>
    <row r="813" spans="1:23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2"/>
      <c r="P813" s="1"/>
      <c r="Q813" s="1"/>
      <c r="R813" s="1"/>
      <c r="S813" s="1"/>
      <c r="T813" s="1"/>
      <c r="U813" s="1"/>
      <c r="V813" s="1"/>
      <c r="W813" s="1"/>
    </row>
    <row r="814" spans="1:23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2"/>
      <c r="P814" s="1"/>
      <c r="Q814" s="1"/>
      <c r="R814" s="1"/>
      <c r="S814" s="1"/>
      <c r="T814" s="1"/>
      <c r="U814" s="1"/>
      <c r="V814" s="1"/>
      <c r="W814" s="1"/>
    </row>
    <row r="815" spans="1:23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2"/>
      <c r="P815" s="1"/>
      <c r="Q815" s="1"/>
      <c r="R815" s="1"/>
      <c r="S815" s="1"/>
      <c r="T815" s="1"/>
      <c r="U815" s="1"/>
      <c r="V815" s="1"/>
      <c r="W815" s="1"/>
    </row>
    <row r="816" spans="1:23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2"/>
      <c r="P816" s="1"/>
      <c r="Q816" s="1"/>
      <c r="R816" s="1"/>
      <c r="S816" s="1"/>
      <c r="T816" s="1"/>
      <c r="U816" s="1"/>
      <c r="V816" s="1"/>
      <c r="W816" s="1"/>
    </row>
    <row r="817" spans="1:23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2"/>
      <c r="P817" s="1"/>
      <c r="Q817" s="1"/>
      <c r="R817" s="1"/>
      <c r="S817" s="1"/>
      <c r="T817" s="1"/>
      <c r="U817" s="1"/>
      <c r="V817" s="1"/>
      <c r="W817" s="1"/>
    </row>
    <row r="818" spans="1:23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2"/>
      <c r="P818" s="1"/>
      <c r="Q818" s="1"/>
      <c r="R818" s="1"/>
      <c r="S818" s="1"/>
      <c r="T818" s="1"/>
      <c r="U818" s="1"/>
      <c r="V818" s="1"/>
      <c r="W818" s="1"/>
    </row>
    <row r="819" spans="1:23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2"/>
      <c r="P819" s="1"/>
      <c r="Q819" s="1"/>
      <c r="R819" s="1"/>
      <c r="S819" s="1"/>
      <c r="T819" s="1"/>
      <c r="U819" s="1"/>
      <c r="V819" s="1"/>
      <c r="W819" s="1"/>
    </row>
    <row r="820" spans="1:23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2"/>
      <c r="P820" s="1"/>
      <c r="Q820" s="1"/>
      <c r="R820" s="1"/>
      <c r="S820" s="1"/>
      <c r="T820" s="1"/>
      <c r="U820" s="1"/>
      <c r="V820" s="1"/>
      <c r="W820" s="1"/>
    </row>
    <row r="821" spans="1:23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2"/>
      <c r="P821" s="1"/>
      <c r="Q821" s="1"/>
      <c r="R821" s="1"/>
      <c r="S821" s="1"/>
      <c r="T821" s="1"/>
      <c r="U821" s="1"/>
      <c r="V821" s="1"/>
      <c r="W821" s="1"/>
    </row>
    <row r="822" spans="1:23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2"/>
      <c r="P822" s="1"/>
      <c r="Q822" s="1"/>
      <c r="R822" s="1"/>
      <c r="S822" s="1"/>
      <c r="T822" s="1"/>
      <c r="U822" s="1"/>
      <c r="V822" s="1"/>
      <c r="W822" s="1"/>
    </row>
    <row r="823" spans="1:23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2"/>
      <c r="P823" s="1"/>
      <c r="Q823" s="1"/>
      <c r="R823" s="1"/>
      <c r="S823" s="1"/>
      <c r="T823" s="1"/>
      <c r="U823" s="1"/>
      <c r="V823" s="1"/>
      <c r="W823" s="1"/>
    </row>
    <row r="824" spans="1:23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2"/>
      <c r="P824" s="1"/>
      <c r="Q824" s="1"/>
      <c r="R824" s="1"/>
      <c r="S824" s="1"/>
      <c r="T824" s="1"/>
      <c r="U824" s="1"/>
      <c r="V824" s="1"/>
      <c r="W824" s="1"/>
    </row>
    <row r="825" spans="1:23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2"/>
      <c r="P825" s="1"/>
      <c r="Q825" s="1"/>
      <c r="R825" s="1"/>
      <c r="S825" s="1"/>
      <c r="T825" s="1"/>
      <c r="U825" s="1"/>
      <c r="V825" s="1"/>
      <c r="W825" s="1"/>
    </row>
    <row r="826" spans="1:23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2"/>
      <c r="P826" s="1"/>
      <c r="Q826" s="1"/>
      <c r="R826" s="1"/>
      <c r="S826" s="1"/>
      <c r="T826" s="1"/>
      <c r="U826" s="1"/>
      <c r="V826" s="1"/>
      <c r="W826" s="1"/>
    </row>
    <row r="827" spans="1:23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2"/>
      <c r="P827" s="1"/>
      <c r="Q827" s="1"/>
      <c r="R827" s="1"/>
      <c r="S827" s="1"/>
      <c r="T827" s="1"/>
      <c r="U827" s="1"/>
      <c r="V827" s="1"/>
      <c r="W827" s="1"/>
    </row>
    <row r="828" spans="1:23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2"/>
      <c r="P828" s="1"/>
      <c r="Q828" s="1"/>
      <c r="R828" s="1"/>
      <c r="S828" s="1"/>
      <c r="T828" s="1"/>
      <c r="U828" s="1"/>
      <c r="V828" s="1"/>
      <c r="W828" s="1"/>
    </row>
    <row r="829" spans="1:23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2"/>
      <c r="P829" s="1"/>
      <c r="Q829" s="1"/>
      <c r="R829" s="1"/>
      <c r="S829" s="1"/>
      <c r="T829" s="1"/>
      <c r="U829" s="1"/>
      <c r="V829" s="1"/>
      <c r="W829" s="1"/>
    </row>
    <row r="830" spans="1:23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2"/>
      <c r="P830" s="1"/>
      <c r="Q830" s="1"/>
      <c r="R830" s="1"/>
      <c r="S830" s="1"/>
      <c r="T830" s="1"/>
      <c r="U830" s="1"/>
      <c r="V830" s="1"/>
      <c r="W830" s="1"/>
    </row>
    <row r="831" spans="1:23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2"/>
      <c r="P831" s="1"/>
      <c r="Q831" s="1"/>
      <c r="R831" s="1"/>
      <c r="S831" s="1"/>
      <c r="T831" s="1"/>
      <c r="U831" s="1"/>
      <c r="V831" s="1"/>
      <c r="W831" s="1"/>
    </row>
    <row r="832" spans="1:23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2"/>
      <c r="P832" s="1"/>
      <c r="Q832" s="1"/>
      <c r="R832" s="1"/>
      <c r="S832" s="1"/>
      <c r="T832" s="1"/>
      <c r="U832" s="1"/>
      <c r="V832" s="1"/>
      <c r="W832" s="1"/>
    </row>
    <row r="833" spans="1:23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2"/>
      <c r="P833" s="1"/>
      <c r="Q833" s="1"/>
      <c r="R833" s="1"/>
      <c r="S833" s="1"/>
      <c r="T833" s="1"/>
      <c r="U833" s="1"/>
      <c r="V833" s="1"/>
      <c r="W833" s="1"/>
    </row>
    <row r="834" spans="1:23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2"/>
      <c r="P834" s="1"/>
      <c r="Q834" s="1"/>
      <c r="R834" s="1"/>
      <c r="S834" s="1"/>
      <c r="T834" s="1"/>
      <c r="U834" s="1"/>
      <c r="V834" s="1"/>
      <c r="W834" s="1"/>
    </row>
    <row r="835" spans="1:23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2"/>
      <c r="P835" s="1"/>
      <c r="Q835" s="1"/>
      <c r="R835" s="1"/>
      <c r="S835" s="1"/>
      <c r="T835" s="1"/>
      <c r="U835" s="1"/>
      <c r="V835" s="1"/>
      <c r="W835" s="1"/>
    </row>
    <row r="836" spans="1:23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2"/>
      <c r="P836" s="1"/>
      <c r="Q836" s="1"/>
      <c r="R836" s="1"/>
      <c r="S836" s="1"/>
      <c r="T836" s="1"/>
      <c r="U836" s="1"/>
      <c r="V836" s="1"/>
      <c r="W836" s="1"/>
    </row>
    <row r="837" spans="1:23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2"/>
      <c r="P837" s="1"/>
      <c r="Q837" s="1"/>
      <c r="R837" s="1"/>
      <c r="S837" s="1"/>
      <c r="T837" s="1"/>
      <c r="U837" s="1"/>
      <c r="V837" s="1"/>
      <c r="W837" s="1"/>
    </row>
    <row r="838" spans="1:23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2"/>
      <c r="P838" s="1"/>
      <c r="Q838" s="1"/>
      <c r="R838" s="1"/>
      <c r="S838" s="1"/>
      <c r="T838" s="1"/>
      <c r="U838" s="1"/>
      <c r="V838" s="1"/>
      <c r="W838" s="1"/>
    </row>
    <row r="839" spans="1:23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2"/>
      <c r="P839" s="1"/>
      <c r="Q839" s="1"/>
      <c r="R839" s="1"/>
      <c r="S839" s="1"/>
      <c r="T839" s="1"/>
      <c r="U839" s="1"/>
      <c r="V839" s="1"/>
      <c r="W839" s="1"/>
    </row>
    <row r="840" spans="1:23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2"/>
      <c r="P840" s="1"/>
      <c r="Q840" s="1"/>
      <c r="R840" s="1"/>
      <c r="S840" s="1"/>
      <c r="T840" s="1"/>
      <c r="U840" s="1"/>
      <c r="V840" s="1"/>
      <c r="W840" s="1"/>
    </row>
    <row r="841" spans="1:23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2"/>
      <c r="P841" s="1"/>
      <c r="Q841" s="1"/>
      <c r="R841" s="1"/>
      <c r="S841" s="1"/>
      <c r="T841" s="1"/>
      <c r="U841" s="1"/>
      <c r="V841" s="1"/>
      <c r="W841" s="1"/>
    </row>
    <row r="842" spans="1:23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2"/>
      <c r="P842" s="1"/>
      <c r="Q842" s="1"/>
      <c r="R842" s="1"/>
      <c r="S842" s="1"/>
      <c r="T842" s="1"/>
      <c r="U842" s="1"/>
      <c r="V842" s="1"/>
      <c r="W842" s="1"/>
    </row>
    <row r="843" spans="1:23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2"/>
      <c r="P843" s="1"/>
      <c r="Q843" s="1"/>
      <c r="R843" s="1"/>
      <c r="S843" s="1"/>
      <c r="T843" s="1"/>
      <c r="U843" s="1"/>
      <c r="V843" s="1"/>
      <c r="W843" s="1"/>
    </row>
    <row r="844" spans="1:23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2"/>
      <c r="P844" s="1"/>
      <c r="Q844" s="1"/>
      <c r="R844" s="1"/>
      <c r="S844" s="1"/>
      <c r="T844" s="1"/>
      <c r="U844" s="1"/>
      <c r="V844" s="1"/>
      <c r="W844" s="1"/>
    </row>
    <row r="845" spans="1:23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2"/>
      <c r="P845" s="1"/>
      <c r="Q845" s="1"/>
      <c r="R845" s="1"/>
      <c r="S845" s="1"/>
      <c r="T845" s="1"/>
      <c r="U845" s="1"/>
      <c r="V845" s="1"/>
      <c r="W845" s="1"/>
    </row>
    <row r="846" spans="1:23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2"/>
      <c r="P846" s="1"/>
      <c r="Q846" s="1"/>
      <c r="R846" s="1"/>
      <c r="S846" s="1"/>
      <c r="T846" s="1"/>
      <c r="U846" s="1"/>
      <c r="V846" s="1"/>
      <c r="W846" s="1"/>
    </row>
    <row r="847" spans="1:23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2"/>
      <c r="P847" s="1"/>
      <c r="Q847" s="1"/>
      <c r="R847" s="1"/>
      <c r="S847" s="1"/>
      <c r="T847" s="1"/>
      <c r="U847" s="1"/>
      <c r="V847" s="1"/>
      <c r="W847" s="1"/>
    </row>
    <row r="848" spans="1:23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2"/>
      <c r="P848" s="1"/>
      <c r="Q848" s="1"/>
      <c r="R848" s="1"/>
      <c r="S848" s="1"/>
      <c r="T848" s="1"/>
      <c r="U848" s="1"/>
      <c r="V848" s="1"/>
      <c r="W848" s="1"/>
    </row>
    <row r="849" spans="1:23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2"/>
      <c r="P849" s="1"/>
      <c r="Q849" s="1"/>
      <c r="R849" s="1"/>
      <c r="S849" s="1"/>
      <c r="T849" s="1"/>
      <c r="U849" s="1"/>
      <c r="V849" s="1"/>
      <c r="W849" s="1"/>
    </row>
    <row r="850" spans="1:23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2"/>
      <c r="P850" s="1"/>
      <c r="Q850" s="1"/>
      <c r="R850" s="1"/>
      <c r="S850" s="1"/>
      <c r="T850" s="1"/>
      <c r="U850" s="1"/>
      <c r="V850" s="1"/>
      <c r="W850" s="1"/>
    </row>
    <row r="851" spans="1:23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2"/>
      <c r="P851" s="1"/>
      <c r="Q851" s="1"/>
      <c r="R851" s="1"/>
      <c r="S851" s="1"/>
      <c r="T851" s="1"/>
      <c r="U851" s="1"/>
      <c r="V851" s="1"/>
      <c r="W851" s="1"/>
    </row>
    <row r="852" spans="1:23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2"/>
      <c r="P852" s="1"/>
      <c r="Q852" s="1"/>
      <c r="R852" s="1"/>
      <c r="S852" s="1"/>
      <c r="T852" s="1"/>
      <c r="U852" s="1"/>
      <c r="V852" s="1"/>
      <c r="W852" s="1"/>
    </row>
    <row r="853" spans="1:23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2"/>
      <c r="P853" s="1"/>
      <c r="Q853" s="1"/>
      <c r="R853" s="1"/>
      <c r="S853" s="1"/>
      <c r="T853" s="1"/>
      <c r="U853" s="1"/>
      <c r="V853" s="1"/>
      <c r="W853" s="1"/>
    </row>
    <row r="854" spans="1:23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2"/>
      <c r="P854" s="1"/>
      <c r="Q854" s="1"/>
      <c r="R854" s="1"/>
      <c r="S854" s="1"/>
      <c r="T854" s="1"/>
      <c r="U854" s="1"/>
      <c r="V854" s="1"/>
      <c r="W854" s="1"/>
    </row>
    <row r="855" spans="1:23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2"/>
      <c r="P855" s="1"/>
      <c r="Q855" s="1"/>
      <c r="R855" s="1"/>
      <c r="S855" s="1"/>
      <c r="T855" s="1"/>
      <c r="U855" s="1"/>
      <c r="V855" s="1"/>
      <c r="W855" s="1"/>
    </row>
    <row r="856" spans="1:23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2"/>
      <c r="P856" s="1"/>
      <c r="Q856" s="1"/>
      <c r="R856" s="1"/>
      <c r="S856" s="1"/>
      <c r="T856" s="1"/>
      <c r="U856" s="1"/>
      <c r="V856" s="1"/>
      <c r="W856" s="1"/>
    </row>
    <row r="857" spans="1:23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2"/>
      <c r="P857" s="1"/>
      <c r="Q857" s="1"/>
      <c r="R857" s="1"/>
      <c r="S857" s="1"/>
      <c r="T857" s="1"/>
      <c r="U857" s="1"/>
      <c r="V857" s="1"/>
      <c r="W857" s="1"/>
    </row>
    <row r="858" spans="1:23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2"/>
      <c r="P858" s="1"/>
      <c r="Q858" s="1"/>
      <c r="R858" s="1"/>
      <c r="S858" s="1"/>
      <c r="T858" s="1"/>
      <c r="U858" s="1"/>
      <c r="V858" s="1"/>
      <c r="W858" s="1"/>
    </row>
    <row r="859" spans="1:23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2"/>
      <c r="P859" s="1"/>
      <c r="Q859" s="1"/>
      <c r="R859" s="1"/>
      <c r="S859" s="1"/>
      <c r="T859" s="1"/>
      <c r="U859" s="1"/>
      <c r="V859" s="1"/>
      <c r="W859" s="1"/>
    </row>
    <row r="860" spans="1:23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2"/>
      <c r="P860" s="1"/>
      <c r="Q860" s="1"/>
      <c r="R860" s="1"/>
      <c r="S860" s="1"/>
      <c r="T860" s="1"/>
      <c r="U860" s="1"/>
      <c r="V860" s="1"/>
      <c r="W860" s="1"/>
    </row>
    <row r="861" spans="1:23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2"/>
      <c r="P861" s="1"/>
      <c r="Q861" s="1"/>
      <c r="R861" s="1"/>
      <c r="S861" s="1"/>
      <c r="T861" s="1"/>
      <c r="U861" s="1"/>
      <c r="V861" s="1"/>
      <c r="W861" s="1"/>
    </row>
    <row r="862" spans="1:23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2"/>
      <c r="P862" s="1"/>
      <c r="Q862" s="1"/>
      <c r="R862" s="1"/>
      <c r="S862" s="1"/>
      <c r="T862" s="1"/>
      <c r="U862" s="1"/>
      <c r="V862" s="1"/>
      <c r="W862" s="1"/>
    </row>
    <row r="863" spans="1:23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2"/>
      <c r="P863" s="1"/>
      <c r="Q863" s="1"/>
      <c r="R863" s="1"/>
      <c r="S863" s="1"/>
      <c r="T863" s="1"/>
      <c r="U863" s="1"/>
      <c r="V863" s="1"/>
      <c r="W863" s="1"/>
    </row>
    <row r="864" spans="1:23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2"/>
      <c r="P864" s="1"/>
      <c r="Q864" s="1"/>
      <c r="R864" s="1"/>
      <c r="S864" s="1"/>
      <c r="T864" s="1"/>
      <c r="U864" s="1"/>
      <c r="V864" s="1"/>
      <c r="W864" s="1"/>
    </row>
    <row r="865" spans="1:23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2"/>
      <c r="P865" s="1"/>
      <c r="Q865" s="1"/>
      <c r="R865" s="1"/>
      <c r="S865" s="1"/>
      <c r="T865" s="1"/>
      <c r="U865" s="1"/>
      <c r="V865" s="1"/>
      <c r="W865" s="1"/>
    </row>
    <row r="866" spans="1:23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2"/>
      <c r="P866" s="1"/>
      <c r="Q866" s="1"/>
      <c r="R866" s="1"/>
      <c r="S866" s="1"/>
      <c r="T866" s="1"/>
      <c r="U866" s="1"/>
      <c r="V866" s="1"/>
      <c r="W866" s="1"/>
    </row>
    <row r="867" spans="1:23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2"/>
      <c r="P867" s="1"/>
      <c r="Q867" s="1"/>
      <c r="R867" s="1"/>
      <c r="S867" s="1"/>
      <c r="T867" s="1"/>
      <c r="U867" s="1"/>
      <c r="V867" s="1"/>
      <c r="W867" s="1"/>
    </row>
    <row r="868" spans="1:23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2"/>
      <c r="P868" s="1"/>
      <c r="Q868" s="1"/>
      <c r="R868" s="1"/>
      <c r="S868" s="1"/>
      <c r="T868" s="1"/>
      <c r="U868" s="1"/>
      <c r="V868" s="1"/>
      <c r="W868" s="1"/>
    </row>
    <row r="869" spans="1:23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2"/>
      <c r="P869" s="1"/>
      <c r="Q869" s="1"/>
      <c r="R869" s="1"/>
      <c r="S869" s="1"/>
      <c r="T869" s="1"/>
      <c r="U869" s="1"/>
      <c r="V869" s="1"/>
      <c r="W869" s="1"/>
    </row>
    <row r="870" spans="1:23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2"/>
      <c r="P870" s="1"/>
      <c r="Q870" s="1"/>
      <c r="R870" s="1"/>
      <c r="S870" s="1"/>
      <c r="T870" s="1"/>
      <c r="U870" s="1"/>
      <c r="V870" s="1"/>
      <c r="W870" s="1"/>
    </row>
    <row r="871" spans="1:23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2"/>
      <c r="P871" s="1"/>
      <c r="Q871" s="1"/>
      <c r="R871" s="1"/>
      <c r="S871" s="1"/>
      <c r="T871" s="1"/>
      <c r="U871" s="1"/>
      <c r="V871" s="1"/>
      <c r="W871" s="1"/>
    </row>
    <row r="872" spans="1:23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2"/>
      <c r="P872" s="1"/>
      <c r="Q872" s="1"/>
      <c r="R872" s="1"/>
      <c r="S872" s="1"/>
      <c r="T872" s="1"/>
      <c r="U872" s="1"/>
      <c r="V872" s="1"/>
      <c r="W872" s="1"/>
    </row>
    <row r="873" spans="1:23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2"/>
      <c r="P873" s="1"/>
      <c r="Q873" s="1"/>
      <c r="R873" s="1"/>
      <c r="S873" s="1"/>
      <c r="T873" s="1"/>
      <c r="U873" s="1"/>
      <c r="V873" s="1"/>
      <c r="W873" s="1"/>
    </row>
    <row r="874" spans="1:23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2"/>
      <c r="P874" s="1"/>
      <c r="Q874" s="1"/>
      <c r="R874" s="1"/>
      <c r="S874" s="1"/>
      <c r="T874" s="1"/>
      <c r="U874" s="1"/>
      <c r="V874" s="1"/>
      <c r="W874" s="1"/>
    </row>
    <row r="875" spans="1:23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2"/>
      <c r="P875" s="1"/>
      <c r="Q875" s="1"/>
      <c r="R875" s="1"/>
      <c r="S875" s="1"/>
      <c r="T875" s="1"/>
      <c r="U875" s="1"/>
      <c r="V875" s="1"/>
      <c r="W875" s="1"/>
    </row>
    <row r="876" spans="1:23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2"/>
      <c r="P876" s="1"/>
      <c r="Q876" s="1"/>
      <c r="R876" s="1"/>
      <c r="S876" s="1"/>
      <c r="T876" s="1"/>
      <c r="U876" s="1"/>
      <c r="V876" s="1"/>
      <c r="W876" s="1"/>
    </row>
    <row r="877" spans="1:23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2"/>
      <c r="P877" s="1"/>
      <c r="Q877" s="1"/>
      <c r="R877" s="1"/>
      <c r="S877" s="1"/>
      <c r="T877" s="1"/>
      <c r="U877" s="1"/>
      <c r="V877" s="1"/>
      <c r="W877" s="1"/>
    </row>
    <row r="878" spans="1:23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2"/>
      <c r="P878" s="1"/>
      <c r="Q878" s="1"/>
      <c r="R878" s="1"/>
      <c r="S878" s="1"/>
      <c r="T878" s="1"/>
      <c r="U878" s="1"/>
      <c r="V878" s="1"/>
      <c r="W878" s="1"/>
    </row>
    <row r="879" spans="1:23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2"/>
      <c r="P879" s="1"/>
      <c r="Q879" s="1"/>
      <c r="R879" s="1"/>
      <c r="S879" s="1"/>
      <c r="T879" s="1"/>
      <c r="U879" s="1"/>
      <c r="V879" s="1"/>
      <c r="W879" s="1"/>
    </row>
    <row r="880" spans="1:23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2"/>
      <c r="P880" s="1"/>
      <c r="Q880" s="1"/>
      <c r="R880" s="1"/>
      <c r="S880" s="1"/>
      <c r="T880" s="1"/>
      <c r="U880" s="1"/>
      <c r="V880" s="1"/>
      <c r="W880" s="1"/>
    </row>
    <row r="881" spans="1:23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2"/>
      <c r="P881" s="1"/>
      <c r="Q881" s="1"/>
      <c r="R881" s="1"/>
      <c r="S881" s="1"/>
      <c r="T881" s="1"/>
      <c r="U881" s="1"/>
      <c r="V881" s="1"/>
      <c r="W881" s="1"/>
    </row>
    <row r="882" spans="1:23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2"/>
      <c r="P882" s="1"/>
      <c r="Q882" s="1"/>
      <c r="R882" s="1"/>
      <c r="S882" s="1"/>
      <c r="T882" s="1"/>
      <c r="U882" s="1"/>
      <c r="V882" s="1"/>
      <c r="W882" s="1"/>
    </row>
    <row r="883" spans="1:23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2"/>
      <c r="P883" s="1"/>
      <c r="Q883" s="1"/>
      <c r="R883" s="1"/>
      <c r="S883" s="1"/>
      <c r="T883" s="1"/>
      <c r="U883" s="1"/>
      <c r="V883" s="1"/>
      <c r="W883" s="1"/>
    </row>
    <row r="884" spans="1:23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2"/>
      <c r="P884" s="1"/>
      <c r="Q884" s="1"/>
      <c r="R884" s="1"/>
      <c r="S884" s="1"/>
      <c r="T884" s="1"/>
      <c r="U884" s="1"/>
      <c r="V884" s="1"/>
      <c r="W884" s="1"/>
    </row>
    <row r="885" spans="1:23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2"/>
      <c r="P885" s="1"/>
      <c r="Q885" s="1"/>
      <c r="R885" s="1"/>
      <c r="S885" s="1"/>
      <c r="T885" s="1"/>
      <c r="U885" s="1"/>
      <c r="V885" s="1"/>
      <c r="W885" s="1"/>
    </row>
    <row r="886" spans="1:23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2"/>
      <c r="P886" s="1"/>
      <c r="Q886" s="1"/>
      <c r="R886" s="1"/>
      <c r="S886" s="1"/>
      <c r="T886" s="1"/>
      <c r="U886" s="1"/>
      <c r="V886" s="1"/>
      <c r="W886" s="1"/>
    </row>
    <row r="887" spans="1:23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2"/>
      <c r="P887" s="1"/>
      <c r="Q887" s="1"/>
      <c r="R887" s="1"/>
      <c r="S887" s="1"/>
      <c r="T887" s="1"/>
      <c r="U887" s="1"/>
      <c r="V887" s="1"/>
      <c r="W887" s="1"/>
    </row>
    <row r="888" spans="1:23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2"/>
      <c r="P888" s="1"/>
      <c r="Q888" s="1"/>
      <c r="R888" s="1"/>
      <c r="S888" s="1"/>
      <c r="T888" s="1"/>
      <c r="U888" s="1"/>
      <c r="V888" s="1"/>
      <c r="W888" s="1"/>
    </row>
    <row r="889" spans="1:23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2"/>
      <c r="P889" s="1"/>
      <c r="Q889" s="1"/>
      <c r="R889" s="1"/>
      <c r="S889" s="1"/>
      <c r="T889" s="1"/>
      <c r="U889" s="1"/>
      <c r="V889" s="1"/>
      <c r="W889" s="1"/>
    </row>
    <row r="890" spans="1:23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2"/>
      <c r="P890" s="1"/>
      <c r="Q890" s="1"/>
      <c r="R890" s="1"/>
      <c r="S890" s="1"/>
      <c r="T890" s="1"/>
      <c r="U890" s="1"/>
      <c r="V890" s="1"/>
      <c r="W890" s="1"/>
    </row>
    <row r="891" spans="1:23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2"/>
      <c r="P891" s="1"/>
      <c r="Q891" s="1"/>
      <c r="R891" s="1"/>
      <c r="S891" s="1"/>
      <c r="T891" s="1"/>
      <c r="U891" s="1"/>
      <c r="V891" s="1"/>
      <c r="W891" s="1"/>
    </row>
    <row r="892" spans="1:23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2"/>
      <c r="P892" s="1"/>
      <c r="Q892" s="1"/>
      <c r="R892" s="1"/>
      <c r="S892" s="1"/>
      <c r="T892" s="1"/>
      <c r="U892" s="1"/>
      <c r="V892" s="1"/>
      <c r="W892" s="1"/>
    </row>
    <row r="893" spans="1:23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2"/>
      <c r="P893" s="1"/>
      <c r="Q893" s="1"/>
      <c r="R893" s="1"/>
      <c r="S893" s="1"/>
      <c r="T893" s="1"/>
      <c r="U893" s="1"/>
      <c r="V893" s="1"/>
      <c r="W893" s="1"/>
    </row>
    <row r="894" spans="1:23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2"/>
      <c r="P894" s="1"/>
      <c r="Q894" s="1"/>
      <c r="R894" s="1"/>
      <c r="S894" s="1"/>
      <c r="T894" s="1"/>
      <c r="U894" s="1"/>
      <c r="V894" s="1"/>
      <c r="W894" s="1"/>
    </row>
    <row r="895" spans="1:23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2"/>
      <c r="P895" s="1"/>
      <c r="Q895" s="1"/>
      <c r="R895" s="1"/>
      <c r="S895" s="1"/>
      <c r="T895" s="1"/>
      <c r="U895" s="1"/>
      <c r="V895" s="1"/>
      <c r="W895" s="1"/>
    </row>
    <row r="896" spans="1:23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2"/>
      <c r="P896" s="1"/>
      <c r="Q896" s="1"/>
      <c r="R896" s="1"/>
      <c r="S896" s="1"/>
      <c r="T896" s="1"/>
      <c r="U896" s="1"/>
      <c r="V896" s="1"/>
      <c r="W896" s="1"/>
    </row>
    <row r="897" spans="1:23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2"/>
      <c r="P897" s="1"/>
      <c r="Q897" s="1"/>
      <c r="R897" s="1"/>
      <c r="S897" s="1"/>
      <c r="T897" s="1"/>
      <c r="U897" s="1"/>
      <c r="V897" s="1"/>
      <c r="W897" s="1"/>
    </row>
    <row r="898" spans="1:23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2"/>
      <c r="P898" s="1"/>
      <c r="Q898" s="1"/>
      <c r="R898" s="1"/>
      <c r="S898" s="1"/>
      <c r="T898" s="1"/>
      <c r="U898" s="1"/>
      <c r="V898" s="1"/>
      <c r="W898" s="1"/>
    </row>
    <row r="899" spans="1:23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2"/>
      <c r="P899" s="1"/>
      <c r="Q899" s="1"/>
      <c r="R899" s="1"/>
      <c r="S899" s="1"/>
      <c r="T899" s="1"/>
      <c r="U899" s="1"/>
      <c r="V899" s="1"/>
      <c r="W899" s="1"/>
    </row>
    <row r="900" spans="1:23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2"/>
      <c r="P900" s="1"/>
      <c r="Q900" s="1"/>
      <c r="R900" s="1"/>
      <c r="S900" s="1"/>
      <c r="T900" s="1"/>
      <c r="U900" s="1"/>
      <c r="V900" s="1"/>
      <c r="W900" s="1"/>
    </row>
    <row r="901" spans="1:23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2"/>
      <c r="P901" s="1"/>
      <c r="Q901" s="1"/>
      <c r="R901" s="1"/>
      <c r="S901" s="1"/>
      <c r="T901" s="1"/>
      <c r="U901" s="1"/>
      <c r="V901" s="1"/>
      <c r="W901" s="1"/>
    </row>
    <row r="902" spans="1:23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2"/>
      <c r="P902" s="1"/>
      <c r="Q902" s="1"/>
      <c r="R902" s="1"/>
      <c r="S902" s="1"/>
      <c r="T902" s="1"/>
      <c r="U902" s="1"/>
      <c r="V902" s="1"/>
      <c r="W902" s="1"/>
    </row>
    <row r="903" spans="1:23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2"/>
      <c r="P903" s="1"/>
      <c r="Q903" s="1"/>
      <c r="R903" s="1"/>
      <c r="S903" s="1"/>
      <c r="T903" s="1"/>
      <c r="U903" s="1"/>
      <c r="V903" s="1"/>
      <c r="W903" s="1"/>
    </row>
    <row r="904" spans="1:23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2"/>
      <c r="P904" s="1"/>
      <c r="Q904" s="1"/>
      <c r="R904" s="1"/>
      <c r="S904" s="1"/>
      <c r="T904" s="1"/>
      <c r="U904" s="1"/>
      <c r="V904" s="1"/>
      <c r="W904" s="1"/>
    </row>
    <row r="905" spans="1:23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2"/>
      <c r="P905" s="1"/>
      <c r="Q905" s="1"/>
      <c r="R905" s="1"/>
      <c r="S905" s="1"/>
      <c r="T905" s="1"/>
      <c r="U905" s="1"/>
      <c r="V905" s="1"/>
      <c r="W905" s="1"/>
    </row>
    <row r="906" spans="1:23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2"/>
      <c r="P906" s="1"/>
      <c r="Q906" s="1"/>
      <c r="R906" s="1"/>
      <c r="S906" s="1"/>
      <c r="T906" s="1"/>
      <c r="U906" s="1"/>
      <c r="V906" s="1"/>
      <c r="W906" s="1"/>
    </row>
    <row r="907" spans="1:23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2"/>
      <c r="P907" s="1"/>
      <c r="Q907" s="1"/>
      <c r="R907" s="1"/>
      <c r="S907" s="1"/>
      <c r="T907" s="1"/>
      <c r="U907" s="1"/>
      <c r="V907" s="1"/>
      <c r="W907" s="1"/>
    </row>
    <row r="908" spans="1:23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2"/>
      <c r="P908" s="1"/>
      <c r="Q908" s="1"/>
      <c r="R908" s="1"/>
      <c r="S908" s="1"/>
      <c r="T908" s="1"/>
      <c r="U908" s="1"/>
      <c r="V908" s="1"/>
      <c r="W908" s="1"/>
    </row>
    <row r="909" spans="1:23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2"/>
      <c r="P909" s="1"/>
      <c r="Q909" s="1"/>
      <c r="R909" s="1"/>
      <c r="S909" s="1"/>
      <c r="T909" s="1"/>
      <c r="U909" s="1"/>
      <c r="V909" s="1"/>
      <c r="W909" s="1"/>
    </row>
    <row r="910" spans="1:23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2"/>
      <c r="P910" s="1"/>
      <c r="Q910" s="1"/>
      <c r="R910" s="1"/>
      <c r="S910" s="1"/>
      <c r="T910" s="1"/>
      <c r="U910" s="1"/>
      <c r="V910" s="1"/>
      <c r="W910" s="1"/>
    </row>
    <row r="911" spans="1:23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2"/>
      <c r="P911" s="1"/>
      <c r="Q911" s="1"/>
      <c r="R911" s="1"/>
      <c r="S911" s="1"/>
      <c r="T911" s="1"/>
      <c r="U911" s="1"/>
      <c r="V911" s="1"/>
      <c r="W911" s="1"/>
    </row>
    <row r="912" spans="1:23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2"/>
      <c r="P912" s="1"/>
      <c r="Q912" s="1"/>
      <c r="R912" s="1"/>
      <c r="S912" s="1"/>
      <c r="T912" s="1"/>
      <c r="U912" s="1"/>
      <c r="V912" s="1"/>
      <c r="W912" s="1"/>
    </row>
    <row r="913" spans="1:23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2"/>
      <c r="P913" s="1"/>
      <c r="Q913" s="1"/>
      <c r="R913" s="1"/>
      <c r="S913" s="1"/>
      <c r="T913" s="1"/>
      <c r="U913" s="1"/>
      <c r="V913" s="1"/>
      <c r="W913" s="1"/>
    </row>
    <row r="914" spans="1:23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2"/>
      <c r="P914" s="1"/>
      <c r="Q914" s="1"/>
      <c r="R914" s="1"/>
      <c r="S914" s="1"/>
      <c r="T914" s="1"/>
      <c r="U914" s="1"/>
      <c r="V914" s="1"/>
      <c r="W914" s="1"/>
    </row>
    <row r="915" spans="1:23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2"/>
      <c r="P915" s="1"/>
      <c r="Q915" s="1"/>
      <c r="R915" s="1"/>
      <c r="S915" s="1"/>
      <c r="T915" s="1"/>
      <c r="U915" s="1"/>
      <c r="V915" s="1"/>
      <c r="W915" s="1"/>
    </row>
    <row r="916" spans="1:23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2"/>
      <c r="P916" s="1"/>
      <c r="Q916" s="1"/>
      <c r="R916" s="1"/>
      <c r="S916" s="1"/>
      <c r="T916" s="1"/>
      <c r="U916" s="1"/>
      <c r="V916" s="1"/>
      <c r="W916" s="1"/>
    </row>
    <row r="917" spans="1:23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2"/>
      <c r="P917" s="1"/>
      <c r="Q917" s="1"/>
      <c r="R917" s="1"/>
      <c r="S917" s="1"/>
      <c r="T917" s="1"/>
      <c r="U917" s="1"/>
      <c r="V917" s="1"/>
      <c r="W917" s="1"/>
    </row>
    <row r="918" spans="1:23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2"/>
      <c r="P918" s="1"/>
      <c r="Q918" s="1"/>
      <c r="R918" s="1"/>
      <c r="S918" s="1"/>
      <c r="T918" s="1"/>
      <c r="U918" s="1"/>
      <c r="V918" s="1"/>
      <c r="W918" s="1"/>
    </row>
    <row r="919" spans="1:23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2"/>
      <c r="P919" s="1"/>
      <c r="Q919" s="1"/>
      <c r="R919" s="1"/>
      <c r="S919" s="1"/>
      <c r="T919" s="1"/>
      <c r="U919" s="1"/>
      <c r="V919" s="1"/>
      <c r="W919" s="1"/>
    </row>
    <row r="920" spans="1:23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2"/>
      <c r="P920" s="1"/>
      <c r="Q920" s="1"/>
      <c r="R920" s="1"/>
      <c r="S920" s="1"/>
      <c r="T920" s="1"/>
      <c r="U920" s="1"/>
      <c r="V920" s="1"/>
      <c r="W920" s="1"/>
    </row>
    <row r="921" spans="1:23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2"/>
      <c r="P921" s="1"/>
      <c r="Q921" s="1"/>
      <c r="R921" s="1"/>
      <c r="S921" s="1"/>
      <c r="T921" s="1"/>
      <c r="U921" s="1"/>
      <c r="V921" s="1"/>
      <c r="W921" s="1"/>
    </row>
    <row r="922" spans="1:23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2"/>
      <c r="P922" s="1"/>
      <c r="Q922" s="1"/>
      <c r="R922" s="1"/>
      <c r="S922" s="1"/>
      <c r="T922" s="1"/>
      <c r="U922" s="1"/>
      <c r="V922" s="1"/>
      <c r="W922" s="1"/>
    </row>
    <row r="923" spans="1:23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2"/>
      <c r="P923" s="1"/>
      <c r="Q923" s="1"/>
      <c r="R923" s="1"/>
      <c r="S923" s="1"/>
      <c r="T923" s="1"/>
      <c r="U923" s="1"/>
      <c r="V923" s="1"/>
      <c r="W923" s="1"/>
    </row>
    <row r="924" spans="1:23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2"/>
      <c r="P924" s="1"/>
      <c r="Q924" s="1"/>
      <c r="R924" s="1"/>
      <c r="S924" s="1"/>
      <c r="T924" s="1"/>
      <c r="U924" s="1"/>
      <c r="V924" s="1"/>
      <c r="W924" s="1"/>
    </row>
    <row r="925" spans="1:23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2"/>
      <c r="P925" s="1"/>
      <c r="Q925" s="1"/>
      <c r="R925" s="1"/>
      <c r="S925" s="1"/>
      <c r="T925" s="1"/>
      <c r="U925" s="1"/>
      <c r="V925" s="1"/>
      <c r="W925" s="1"/>
    </row>
    <row r="926" spans="1:23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2"/>
      <c r="P926" s="1"/>
      <c r="Q926" s="1"/>
      <c r="R926" s="1"/>
      <c r="S926" s="1"/>
      <c r="T926" s="1"/>
      <c r="U926" s="1"/>
      <c r="V926" s="1"/>
      <c r="W926" s="1"/>
    </row>
    <row r="927" spans="1:23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2"/>
      <c r="P927" s="1"/>
      <c r="Q927" s="1"/>
      <c r="R927" s="1"/>
      <c r="S927" s="1"/>
      <c r="T927" s="1"/>
      <c r="U927" s="1"/>
      <c r="V927" s="1"/>
      <c r="W927" s="1"/>
    </row>
    <row r="928" spans="1:23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2"/>
      <c r="P928" s="1"/>
      <c r="Q928" s="1"/>
      <c r="R928" s="1"/>
      <c r="S928" s="1"/>
      <c r="T928" s="1"/>
      <c r="U928" s="1"/>
      <c r="V928" s="1"/>
      <c r="W928" s="1"/>
    </row>
    <row r="929" spans="1:23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2"/>
      <c r="P929" s="1"/>
      <c r="Q929" s="1"/>
      <c r="R929" s="1"/>
      <c r="S929" s="1"/>
      <c r="T929" s="1"/>
      <c r="U929" s="1"/>
      <c r="V929" s="1"/>
      <c r="W929" s="1"/>
    </row>
    <row r="930" spans="1:23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2"/>
      <c r="P930" s="1"/>
      <c r="Q930" s="1"/>
      <c r="R930" s="1"/>
      <c r="S930" s="1"/>
      <c r="T930" s="1"/>
      <c r="U930" s="1"/>
      <c r="V930" s="1"/>
      <c r="W930" s="1"/>
    </row>
    <row r="931" spans="1:23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2"/>
      <c r="P931" s="1"/>
      <c r="Q931" s="1"/>
      <c r="R931" s="1"/>
      <c r="S931" s="1"/>
      <c r="T931" s="1"/>
      <c r="U931" s="1"/>
      <c r="V931" s="1"/>
      <c r="W931" s="1"/>
    </row>
    <row r="932" spans="1:23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2"/>
      <c r="P932" s="1"/>
      <c r="Q932" s="1"/>
      <c r="R932" s="1"/>
      <c r="S932" s="1"/>
      <c r="T932" s="1"/>
      <c r="U932" s="1"/>
      <c r="V932" s="1"/>
      <c r="W932" s="1"/>
    </row>
    <row r="933" spans="1:23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2"/>
      <c r="P933" s="1"/>
      <c r="Q933" s="1"/>
      <c r="R933" s="1"/>
      <c r="S933" s="1"/>
      <c r="T933" s="1"/>
      <c r="U933" s="1"/>
      <c r="V933" s="1"/>
      <c r="W933" s="1"/>
    </row>
    <row r="934" spans="1:23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2"/>
      <c r="P934" s="1"/>
      <c r="Q934" s="1"/>
      <c r="R934" s="1"/>
      <c r="S934" s="1"/>
      <c r="T934" s="1"/>
      <c r="U934" s="1"/>
      <c r="V934" s="1"/>
      <c r="W934" s="1"/>
    </row>
    <row r="935" spans="1:23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2"/>
      <c r="P935" s="1"/>
      <c r="Q935" s="1"/>
      <c r="R935" s="1"/>
      <c r="S935" s="1"/>
      <c r="T935" s="1"/>
      <c r="U935" s="1"/>
      <c r="V935" s="1"/>
      <c r="W935" s="1"/>
    </row>
    <row r="936" spans="1:23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2"/>
      <c r="P936" s="1"/>
      <c r="Q936" s="1"/>
      <c r="R936" s="1"/>
      <c r="S936" s="1"/>
      <c r="T936" s="1"/>
      <c r="U936" s="1"/>
      <c r="V936" s="1"/>
      <c r="W936" s="1"/>
    </row>
    <row r="937" spans="1:23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2"/>
      <c r="P937" s="1"/>
      <c r="Q937" s="1"/>
      <c r="R937" s="1"/>
      <c r="S937" s="1"/>
      <c r="T937" s="1"/>
      <c r="U937" s="1"/>
      <c r="V937" s="1"/>
      <c r="W937" s="1"/>
    </row>
    <row r="938" spans="1:23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2"/>
      <c r="P938" s="1"/>
      <c r="Q938" s="1"/>
      <c r="R938" s="1"/>
      <c r="S938" s="1"/>
      <c r="T938" s="1"/>
      <c r="U938" s="1"/>
      <c r="V938" s="1"/>
      <c r="W938" s="1"/>
    </row>
    <row r="939" spans="1:23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2"/>
      <c r="P939" s="1"/>
      <c r="Q939" s="1"/>
      <c r="R939" s="1"/>
      <c r="S939" s="1"/>
      <c r="T939" s="1"/>
      <c r="U939" s="1"/>
      <c r="V939" s="1"/>
      <c r="W939" s="1"/>
    </row>
    <row r="940" spans="1:23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2"/>
      <c r="P940" s="1"/>
      <c r="Q940" s="1"/>
      <c r="R940" s="1"/>
      <c r="S940" s="1"/>
      <c r="T940" s="1"/>
      <c r="U940" s="1"/>
      <c r="V940" s="1"/>
      <c r="W940" s="1"/>
    </row>
    <row r="941" spans="1:23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2"/>
      <c r="P941" s="1"/>
      <c r="Q941" s="1"/>
      <c r="R941" s="1"/>
      <c r="S941" s="1"/>
      <c r="T941" s="1"/>
      <c r="U941" s="1"/>
      <c r="V941" s="1"/>
      <c r="W941" s="1"/>
    </row>
    <row r="942" spans="1:23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2"/>
      <c r="P942" s="1"/>
      <c r="Q942" s="1"/>
      <c r="R942" s="1"/>
      <c r="S942" s="1"/>
      <c r="T942" s="1"/>
      <c r="U942" s="1"/>
      <c r="V942" s="1"/>
      <c r="W942" s="1"/>
    </row>
    <row r="943" spans="1:23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2"/>
      <c r="P943" s="1"/>
      <c r="Q943" s="1"/>
      <c r="R943" s="1"/>
      <c r="S943" s="1"/>
      <c r="T943" s="1"/>
      <c r="U943" s="1"/>
      <c r="V943" s="1"/>
      <c r="W943" s="1"/>
    </row>
    <row r="944" spans="1:23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2"/>
      <c r="P944" s="1"/>
      <c r="Q944" s="1"/>
      <c r="R944" s="1"/>
      <c r="S944" s="1"/>
      <c r="T944" s="1"/>
      <c r="U944" s="1"/>
      <c r="V944" s="1"/>
      <c r="W944" s="1"/>
    </row>
    <row r="945" spans="1:23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2"/>
      <c r="P945" s="1"/>
      <c r="Q945" s="1"/>
      <c r="R945" s="1"/>
      <c r="S945" s="1"/>
      <c r="T945" s="1"/>
      <c r="U945" s="1"/>
      <c r="V945" s="1"/>
      <c r="W945" s="1"/>
    </row>
    <row r="946" spans="1:23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2"/>
      <c r="P946" s="1"/>
      <c r="Q946" s="1"/>
      <c r="R946" s="1"/>
      <c r="S946" s="1"/>
      <c r="T946" s="1"/>
      <c r="U946" s="1"/>
      <c r="V946" s="1"/>
      <c r="W946" s="1"/>
    </row>
    <row r="947" spans="1:23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2"/>
      <c r="P947" s="1"/>
      <c r="Q947" s="1"/>
      <c r="R947" s="1"/>
      <c r="S947" s="1"/>
      <c r="T947" s="1"/>
      <c r="U947" s="1"/>
      <c r="V947" s="1"/>
      <c r="W947" s="1"/>
    </row>
    <row r="948" spans="1:23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2"/>
      <c r="P948" s="1"/>
      <c r="Q948" s="1"/>
      <c r="R948" s="1"/>
      <c r="S948" s="1"/>
      <c r="T948" s="1"/>
      <c r="U948" s="1"/>
      <c r="V948" s="1"/>
      <c r="W948" s="1"/>
    </row>
    <row r="949" spans="1:23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2"/>
      <c r="P949" s="1"/>
      <c r="Q949" s="1"/>
      <c r="R949" s="1"/>
      <c r="S949" s="1"/>
      <c r="T949" s="1"/>
      <c r="U949" s="1"/>
      <c r="V949" s="1"/>
      <c r="W949" s="1"/>
    </row>
    <row r="950" spans="1:23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2"/>
      <c r="P950" s="1"/>
      <c r="Q950" s="1"/>
      <c r="R950" s="1"/>
      <c r="S950" s="1"/>
      <c r="T950" s="1"/>
      <c r="U950" s="1"/>
      <c r="V950" s="1"/>
      <c r="W950" s="1"/>
    </row>
    <row r="951" spans="1:23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2"/>
      <c r="P951" s="1"/>
      <c r="Q951" s="1"/>
      <c r="R951" s="1"/>
      <c r="S951" s="1"/>
      <c r="T951" s="1"/>
      <c r="U951" s="1"/>
      <c r="V951" s="1"/>
      <c r="W951" s="1"/>
    </row>
    <row r="952" spans="1:23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2"/>
      <c r="P952" s="1"/>
      <c r="Q952" s="1"/>
      <c r="R952" s="1"/>
      <c r="S952" s="1"/>
      <c r="T952" s="1"/>
      <c r="U952" s="1"/>
      <c r="V952" s="1"/>
      <c r="W952" s="1"/>
    </row>
    <row r="953" spans="1:23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2"/>
      <c r="P953" s="1"/>
      <c r="Q953" s="1"/>
      <c r="R953" s="1"/>
      <c r="S953" s="1"/>
      <c r="T953" s="1"/>
      <c r="U953" s="1"/>
      <c r="V953" s="1"/>
      <c r="W953" s="1"/>
    </row>
    <row r="954" spans="1:23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2"/>
      <c r="P954" s="1"/>
      <c r="Q954" s="1"/>
      <c r="R954" s="1"/>
      <c r="S954" s="1"/>
      <c r="T954" s="1"/>
      <c r="U954" s="1"/>
      <c r="V954" s="1"/>
      <c r="W954" s="1"/>
    </row>
    <row r="955" spans="1:23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2"/>
      <c r="P955" s="1"/>
      <c r="Q955" s="1"/>
      <c r="R955" s="1"/>
      <c r="S955" s="1"/>
      <c r="T955" s="1"/>
      <c r="U955" s="1"/>
      <c r="V955" s="1"/>
      <c r="W955" s="1"/>
    </row>
    <row r="956" spans="1:23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2"/>
      <c r="P956" s="1"/>
      <c r="Q956" s="1"/>
      <c r="R956" s="1"/>
      <c r="S956" s="1"/>
      <c r="T956" s="1"/>
      <c r="U956" s="1"/>
      <c r="V956" s="1"/>
      <c r="W956" s="1"/>
    </row>
    <row r="957" spans="1:23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2"/>
      <c r="P957" s="1"/>
      <c r="Q957" s="1"/>
      <c r="R957" s="1"/>
      <c r="S957" s="1"/>
      <c r="T957" s="1"/>
      <c r="U957" s="1"/>
      <c r="V957" s="1"/>
      <c r="W957" s="1"/>
    </row>
    <row r="958" spans="1:23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2"/>
      <c r="P958" s="1"/>
      <c r="Q958" s="1"/>
      <c r="R958" s="1"/>
      <c r="S958" s="1"/>
      <c r="T958" s="1"/>
      <c r="U958" s="1"/>
      <c r="V958" s="1"/>
      <c r="W958" s="1"/>
    </row>
    <row r="959" spans="1:23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2"/>
      <c r="P959" s="1"/>
      <c r="Q959" s="1"/>
      <c r="R959" s="1"/>
      <c r="S959" s="1"/>
      <c r="T959" s="1"/>
      <c r="U959" s="1"/>
      <c r="V959" s="1"/>
      <c r="W959" s="1"/>
    </row>
    <row r="960" spans="1:23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2"/>
      <c r="P960" s="1"/>
      <c r="Q960" s="1"/>
      <c r="R960" s="1"/>
      <c r="S960" s="1"/>
      <c r="T960" s="1"/>
      <c r="U960" s="1"/>
      <c r="V960" s="1"/>
      <c r="W960" s="1"/>
    </row>
    <row r="961" spans="1:23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2"/>
      <c r="P961" s="1"/>
      <c r="Q961" s="1"/>
      <c r="R961" s="1"/>
      <c r="S961" s="1"/>
      <c r="T961" s="1"/>
      <c r="U961" s="1"/>
      <c r="V961" s="1"/>
      <c r="W961" s="1"/>
    </row>
    <row r="962" spans="1:23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2"/>
      <c r="P962" s="1"/>
      <c r="Q962" s="1"/>
      <c r="R962" s="1"/>
      <c r="S962" s="1"/>
      <c r="T962" s="1"/>
      <c r="U962" s="1"/>
      <c r="V962" s="1"/>
      <c r="W962" s="1"/>
    </row>
    <row r="963" spans="1:23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2"/>
      <c r="P963" s="1"/>
      <c r="Q963" s="1"/>
      <c r="R963" s="1"/>
      <c r="S963" s="1"/>
      <c r="T963" s="1"/>
      <c r="U963" s="1"/>
      <c r="V963" s="1"/>
      <c r="W963" s="1"/>
    </row>
    <row r="964" spans="1:23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2"/>
      <c r="P964" s="1"/>
      <c r="Q964" s="1"/>
      <c r="R964" s="1"/>
      <c r="S964" s="1"/>
      <c r="T964" s="1"/>
      <c r="U964" s="1"/>
      <c r="V964" s="1"/>
      <c r="W964" s="1"/>
    </row>
    <row r="965" spans="1:23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2"/>
      <c r="P965" s="1"/>
      <c r="Q965" s="1"/>
      <c r="R965" s="1"/>
      <c r="S965" s="1"/>
      <c r="T965" s="1"/>
      <c r="U965" s="1"/>
      <c r="V965" s="1"/>
      <c r="W965" s="1"/>
    </row>
    <row r="966" spans="1:23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2"/>
      <c r="P966" s="1"/>
      <c r="Q966" s="1"/>
      <c r="R966" s="1"/>
      <c r="S966" s="1"/>
      <c r="T966" s="1"/>
      <c r="U966" s="1"/>
      <c r="V966" s="1"/>
      <c r="W966" s="1"/>
    </row>
    <row r="967" spans="1:23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2"/>
      <c r="P967" s="1"/>
      <c r="Q967" s="1"/>
      <c r="R967" s="1"/>
      <c r="S967" s="1"/>
      <c r="T967" s="1"/>
      <c r="U967" s="1"/>
      <c r="V967" s="1"/>
      <c r="W967" s="1"/>
    </row>
    <row r="968" spans="1:23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2"/>
      <c r="P968" s="1"/>
      <c r="Q968" s="1"/>
      <c r="R968" s="1"/>
      <c r="S968" s="1"/>
      <c r="T968" s="1"/>
      <c r="U968" s="1"/>
      <c r="V968" s="1"/>
      <c r="W968" s="1"/>
    </row>
    <row r="969" spans="1:23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2"/>
      <c r="P969" s="1"/>
      <c r="Q969" s="1"/>
      <c r="R969" s="1"/>
      <c r="S969" s="1"/>
      <c r="T969" s="1"/>
      <c r="U969" s="1"/>
      <c r="V969" s="1"/>
      <c r="W969" s="1"/>
    </row>
    <row r="970" spans="1:23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2"/>
      <c r="P970" s="1"/>
      <c r="Q970" s="1"/>
      <c r="R970" s="1"/>
      <c r="S970" s="1"/>
      <c r="T970" s="1"/>
      <c r="U970" s="1"/>
      <c r="V970" s="1"/>
      <c r="W970" s="1"/>
    </row>
    <row r="971" spans="1:23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2"/>
      <c r="P971" s="1"/>
      <c r="Q971" s="1"/>
      <c r="R971" s="1"/>
      <c r="S971" s="1"/>
      <c r="T971" s="1"/>
      <c r="U971" s="1"/>
      <c r="V971" s="1"/>
      <c r="W971" s="1"/>
    </row>
    <row r="972" spans="1:23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2"/>
      <c r="P972" s="1"/>
      <c r="Q972" s="1"/>
      <c r="R972" s="1"/>
      <c r="S972" s="1"/>
      <c r="T972" s="1"/>
      <c r="U972" s="1"/>
      <c r="V972" s="1"/>
      <c r="W972" s="1"/>
    </row>
    <row r="973" spans="1:23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2"/>
      <c r="P973" s="1"/>
      <c r="Q973" s="1"/>
      <c r="R973" s="1"/>
      <c r="S973" s="1"/>
      <c r="T973" s="1"/>
      <c r="U973" s="1"/>
      <c r="V973" s="1"/>
      <c r="W973" s="1"/>
    </row>
    <row r="974" spans="1:23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2"/>
      <c r="P974" s="1"/>
      <c r="Q974" s="1"/>
      <c r="R974" s="1"/>
      <c r="S974" s="1"/>
      <c r="T974" s="1"/>
      <c r="U974" s="1"/>
      <c r="V974" s="1"/>
      <c r="W974" s="1"/>
    </row>
    <row r="975" spans="1:23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2"/>
      <c r="P975" s="1"/>
      <c r="Q975" s="1"/>
      <c r="R975" s="1"/>
      <c r="S975" s="1"/>
      <c r="T975" s="1"/>
      <c r="U975" s="1"/>
      <c r="V975" s="1"/>
      <c r="W975" s="1"/>
    </row>
    <row r="976" spans="1:23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2"/>
      <c r="P976" s="1"/>
      <c r="Q976" s="1"/>
      <c r="R976" s="1"/>
      <c r="S976" s="1"/>
      <c r="T976" s="1"/>
      <c r="U976" s="1"/>
      <c r="V976" s="1"/>
      <c r="W976" s="1"/>
    </row>
    <row r="977" spans="1:23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2"/>
      <c r="P977" s="1"/>
      <c r="Q977" s="1"/>
      <c r="R977" s="1"/>
      <c r="S977" s="1"/>
      <c r="T977" s="1"/>
      <c r="U977" s="1"/>
      <c r="V977" s="1"/>
      <c r="W977" s="1"/>
    </row>
    <row r="978" spans="1:23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2"/>
      <c r="P978" s="1"/>
      <c r="Q978" s="1"/>
      <c r="R978" s="1"/>
      <c r="S978" s="1"/>
      <c r="T978" s="1"/>
      <c r="U978" s="1"/>
      <c r="V978" s="1"/>
      <c r="W978" s="1"/>
    </row>
    <row r="979" spans="1:23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2"/>
      <c r="P979" s="1"/>
      <c r="Q979" s="1"/>
      <c r="R979" s="1"/>
      <c r="S979" s="1"/>
      <c r="T979" s="1"/>
      <c r="U979" s="1"/>
      <c r="V979" s="1"/>
      <c r="W979" s="1"/>
    </row>
    <row r="980" spans="1:23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2"/>
      <c r="P980" s="1"/>
      <c r="Q980" s="1"/>
      <c r="R980" s="1"/>
      <c r="S980" s="1"/>
      <c r="T980" s="1"/>
      <c r="U980" s="1"/>
      <c r="V980" s="1"/>
      <c r="W980" s="1"/>
    </row>
    <row r="981" spans="1:23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2"/>
      <c r="P981" s="1"/>
      <c r="Q981" s="1"/>
      <c r="R981" s="1"/>
      <c r="S981" s="1"/>
      <c r="T981" s="1"/>
      <c r="U981" s="1"/>
      <c r="V981" s="1"/>
      <c r="W981" s="1"/>
    </row>
    <row r="982" spans="1:23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2"/>
      <c r="P982" s="1"/>
      <c r="Q982" s="1"/>
      <c r="R982" s="1"/>
      <c r="S982" s="1"/>
      <c r="T982" s="1"/>
      <c r="U982" s="1"/>
      <c r="V982" s="1"/>
      <c r="W982" s="1"/>
    </row>
    <row r="983" spans="1:23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2"/>
      <c r="P983" s="1"/>
      <c r="Q983" s="1"/>
      <c r="R983" s="1"/>
      <c r="S983" s="1"/>
      <c r="T983" s="1"/>
      <c r="U983" s="1"/>
      <c r="V983" s="1"/>
      <c r="W983" s="1"/>
    </row>
    <row r="984" spans="1:23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2"/>
      <c r="P984" s="1"/>
      <c r="Q984" s="1"/>
      <c r="R984" s="1"/>
      <c r="S984" s="1"/>
      <c r="T984" s="1"/>
      <c r="U984" s="1"/>
      <c r="V984" s="1"/>
      <c r="W984" s="1"/>
    </row>
    <row r="985" spans="1:23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2"/>
      <c r="P985" s="1"/>
      <c r="Q985" s="1"/>
      <c r="R985" s="1"/>
      <c r="S985" s="1"/>
      <c r="T985" s="1"/>
      <c r="U985" s="1"/>
      <c r="V985" s="1"/>
      <c r="W985" s="1"/>
    </row>
    <row r="986" spans="1:23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2"/>
      <c r="P986" s="1"/>
      <c r="Q986" s="1"/>
      <c r="R986" s="1"/>
      <c r="S986" s="1"/>
      <c r="T986" s="1"/>
      <c r="U986" s="1"/>
      <c r="V986" s="1"/>
      <c r="W986" s="1"/>
    </row>
    <row r="987" spans="1:23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2"/>
      <c r="P987" s="1"/>
      <c r="Q987" s="1"/>
      <c r="R987" s="1"/>
      <c r="S987" s="1"/>
      <c r="T987" s="1"/>
      <c r="U987" s="1"/>
      <c r="V987" s="1"/>
      <c r="W987" s="1"/>
    </row>
    <row r="988" spans="1:23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2"/>
      <c r="P988" s="1"/>
      <c r="Q988" s="1"/>
      <c r="R988" s="1"/>
      <c r="S988" s="1"/>
      <c r="T988" s="1"/>
      <c r="U988" s="1"/>
      <c r="V988" s="1"/>
      <c r="W988" s="1"/>
    </row>
    <row r="989" spans="1:23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2"/>
      <c r="P989" s="1"/>
      <c r="Q989" s="1"/>
      <c r="R989" s="1"/>
      <c r="S989" s="1"/>
      <c r="T989" s="1"/>
      <c r="U989" s="1"/>
      <c r="V989" s="1"/>
      <c r="W989" s="1"/>
    </row>
    <row r="990" spans="1:23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2"/>
      <c r="P990" s="1"/>
      <c r="Q990" s="1"/>
      <c r="R990" s="1"/>
      <c r="S990" s="1"/>
      <c r="T990" s="1"/>
      <c r="U990" s="1"/>
      <c r="V990" s="1"/>
      <c r="W990" s="1"/>
    </row>
    <row r="991" spans="1:23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2"/>
      <c r="P991" s="1"/>
      <c r="Q991" s="1"/>
      <c r="R991" s="1"/>
      <c r="S991" s="1"/>
      <c r="T991" s="1"/>
      <c r="U991" s="1"/>
      <c r="V991" s="1"/>
      <c r="W991" s="1"/>
    </row>
    <row r="992" spans="1:23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2"/>
      <c r="P992" s="1"/>
      <c r="Q992" s="1"/>
      <c r="R992" s="1"/>
      <c r="S992" s="1"/>
      <c r="T992" s="1"/>
      <c r="U992" s="1"/>
      <c r="V992" s="1"/>
      <c r="W992" s="1"/>
    </row>
    <row r="993" spans="1:23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2"/>
      <c r="P993" s="1"/>
      <c r="Q993" s="1"/>
      <c r="R993" s="1"/>
      <c r="S993" s="1"/>
      <c r="T993" s="1"/>
      <c r="U993" s="1"/>
      <c r="V993" s="1"/>
      <c r="W993" s="1"/>
    </row>
    <row r="994" spans="1:23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2"/>
      <c r="P994" s="1"/>
      <c r="Q994" s="1"/>
      <c r="R994" s="1"/>
      <c r="S994" s="1"/>
      <c r="T994" s="1"/>
      <c r="U994" s="1"/>
      <c r="V994" s="1"/>
      <c r="W994" s="1"/>
    </row>
    <row r="995" spans="1:23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2"/>
      <c r="P995" s="1"/>
      <c r="Q995" s="1"/>
      <c r="R995" s="1"/>
      <c r="S995" s="1"/>
      <c r="T995" s="1"/>
      <c r="U995" s="1"/>
      <c r="V995" s="1"/>
      <c r="W995" s="1"/>
    </row>
    <row r="996" spans="1:23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2"/>
      <c r="P996" s="1"/>
      <c r="Q996" s="1"/>
      <c r="R996" s="1"/>
      <c r="S996" s="1"/>
      <c r="T996" s="1"/>
      <c r="U996" s="1"/>
      <c r="V996" s="1"/>
      <c r="W996" s="1"/>
    </row>
    <row r="997" spans="1:23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2"/>
      <c r="P997" s="1"/>
      <c r="Q997" s="1"/>
      <c r="R997" s="1"/>
      <c r="S997" s="1"/>
      <c r="T997" s="1"/>
      <c r="U997" s="1"/>
      <c r="V997" s="1"/>
      <c r="W997" s="1"/>
    </row>
    <row r="998" spans="1:23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2"/>
      <c r="P998" s="1"/>
      <c r="Q998" s="1"/>
      <c r="R998" s="1"/>
      <c r="S998" s="1"/>
      <c r="T998" s="1"/>
      <c r="U998" s="1"/>
      <c r="V998" s="1"/>
      <c r="W998" s="1"/>
    </row>
    <row r="999" spans="1:23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2"/>
      <c r="P999" s="1"/>
      <c r="Q999" s="1"/>
      <c r="R999" s="1"/>
      <c r="S999" s="1"/>
      <c r="T999" s="1"/>
      <c r="U999" s="1"/>
      <c r="V999" s="1"/>
      <c r="W999" s="1"/>
    </row>
    <row r="1000" spans="1:23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2"/>
      <c r="P1000" s="1"/>
      <c r="Q1000" s="1"/>
      <c r="R1000" s="1"/>
      <c r="S1000" s="1"/>
      <c r="T1000" s="1"/>
      <c r="U1000" s="1"/>
      <c r="V1000" s="1"/>
      <c r="W1000" s="1"/>
    </row>
    <row r="1001" spans="1:23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2"/>
      <c r="P1001" s="1"/>
      <c r="Q1001" s="1"/>
      <c r="R1001" s="1"/>
      <c r="S1001" s="1"/>
      <c r="T1001" s="1"/>
      <c r="U1001" s="1"/>
      <c r="V1001" s="1"/>
      <c r="W1001" s="1"/>
    </row>
    <row r="1002" spans="1:23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2"/>
      <c r="P1002" s="1"/>
      <c r="Q1002" s="1"/>
      <c r="R1002" s="1"/>
      <c r="S1002" s="1"/>
      <c r="T1002" s="1"/>
      <c r="U1002" s="1"/>
      <c r="V1002" s="1"/>
      <c r="W1002" s="1"/>
    </row>
    <row r="1003" spans="1:23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2"/>
      <c r="P1003" s="1"/>
      <c r="Q1003" s="1"/>
      <c r="R1003" s="1"/>
      <c r="S1003" s="1"/>
      <c r="T1003" s="1"/>
      <c r="U1003" s="1"/>
      <c r="V1003" s="1"/>
      <c r="W1003" s="1"/>
    </row>
    <row r="1004" spans="1:23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2"/>
      <c r="P1004" s="1"/>
      <c r="Q1004" s="1"/>
      <c r="R1004" s="1"/>
      <c r="S1004" s="1"/>
      <c r="T1004" s="1"/>
      <c r="U1004" s="1"/>
      <c r="V1004" s="1"/>
      <c r="W1004" s="1"/>
    </row>
    <row r="1005" spans="1:23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2"/>
      <c r="P1005" s="1"/>
      <c r="Q1005" s="1"/>
      <c r="R1005" s="1"/>
      <c r="S1005" s="1"/>
      <c r="T1005" s="1"/>
      <c r="U1005" s="1"/>
      <c r="V1005" s="1"/>
      <c r="W1005" s="1"/>
    </row>
    <row r="1006" spans="1:23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2"/>
      <c r="P1006" s="1"/>
      <c r="Q1006" s="1"/>
      <c r="R1006" s="1"/>
      <c r="S1006" s="1"/>
      <c r="T1006" s="1"/>
      <c r="U1006" s="1"/>
      <c r="V1006" s="1"/>
      <c r="W1006" s="1"/>
    </row>
    <row r="1007" spans="1:23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2"/>
      <c r="P1007" s="1"/>
      <c r="Q1007" s="1"/>
      <c r="R1007" s="1"/>
      <c r="S1007" s="1"/>
      <c r="T1007" s="1"/>
      <c r="U1007" s="1"/>
      <c r="V1007" s="1"/>
      <c r="W1007" s="1"/>
    </row>
    <row r="1008" spans="1:23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2"/>
      <c r="P1008" s="1"/>
      <c r="Q1008" s="1"/>
      <c r="R1008" s="1"/>
      <c r="S1008" s="1"/>
      <c r="T1008" s="1"/>
      <c r="U1008" s="1"/>
      <c r="V1008" s="1"/>
      <c r="W1008" s="1"/>
    </row>
    <row r="1009" spans="1:23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2"/>
      <c r="P1009" s="1"/>
      <c r="Q1009" s="1"/>
      <c r="R1009" s="1"/>
      <c r="S1009" s="1"/>
      <c r="T1009" s="1"/>
      <c r="U1009" s="1"/>
      <c r="V1009" s="1"/>
      <c r="W1009" s="1"/>
    </row>
    <row r="1010" spans="1:23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2"/>
      <c r="P1010" s="1"/>
      <c r="Q1010" s="1"/>
      <c r="R1010" s="1"/>
      <c r="S1010" s="1"/>
      <c r="T1010" s="1"/>
      <c r="U1010" s="1"/>
      <c r="V1010" s="1"/>
      <c r="W1010" s="1"/>
    </row>
    <row r="1011" spans="1:23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2"/>
      <c r="P1011" s="1"/>
      <c r="Q1011" s="1"/>
      <c r="R1011" s="1"/>
      <c r="S1011" s="1"/>
      <c r="T1011" s="1"/>
      <c r="U1011" s="1"/>
      <c r="V1011" s="1"/>
      <c r="W1011" s="1"/>
    </row>
    <row r="1012" spans="1:23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2"/>
      <c r="P1012" s="1"/>
      <c r="Q1012" s="1"/>
      <c r="R1012" s="1"/>
      <c r="S1012" s="1"/>
      <c r="T1012" s="1"/>
      <c r="U1012" s="1"/>
      <c r="V1012" s="1"/>
      <c r="W1012" s="1"/>
    </row>
    <row r="1013" spans="1:23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2"/>
      <c r="P1013" s="1"/>
      <c r="Q1013" s="1"/>
      <c r="R1013" s="1"/>
      <c r="S1013" s="1"/>
      <c r="T1013" s="1"/>
      <c r="U1013" s="1"/>
      <c r="V1013" s="1"/>
      <c r="W1013" s="1"/>
    </row>
    <row r="1014" spans="1:23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2"/>
      <c r="P1014" s="1"/>
      <c r="Q1014" s="1"/>
      <c r="R1014" s="1"/>
      <c r="S1014" s="1"/>
      <c r="T1014" s="1"/>
      <c r="U1014" s="1"/>
      <c r="V1014" s="1"/>
      <c r="W1014" s="1"/>
    </row>
    <row r="1015" spans="1:23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2"/>
      <c r="P1015" s="1"/>
      <c r="Q1015" s="1"/>
      <c r="R1015" s="1"/>
      <c r="S1015" s="1"/>
      <c r="T1015" s="1"/>
      <c r="U1015" s="1"/>
      <c r="V1015" s="1"/>
      <c r="W1015" s="1"/>
    </row>
    <row r="1016" spans="1:23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2"/>
      <c r="P1016" s="1"/>
      <c r="Q1016" s="1"/>
      <c r="R1016" s="1"/>
      <c r="S1016" s="1"/>
      <c r="T1016" s="1"/>
      <c r="U1016" s="1"/>
      <c r="V1016" s="1"/>
      <c r="W1016" s="1"/>
    </row>
    <row r="1017" spans="1:23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2"/>
      <c r="P1017" s="1"/>
      <c r="Q1017" s="1"/>
      <c r="R1017" s="1"/>
      <c r="S1017" s="1"/>
      <c r="T1017" s="1"/>
      <c r="U1017" s="1"/>
      <c r="V1017" s="1"/>
      <c r="W1017" s="1"/>
    </row>
    <row r="1018" spans="1:23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2"/>
      <c r="P1018" s="1"/>
      <c r="Q1018" s="1"/>
      <c r="R1018" s="1"/>
      <c r="S1018" s="1"/>
      <c r="T1018" s="1"/>
      <c r="U1018" s="1"/>
      <c r="V1018" s="1"/>
      <c r="W1018" s="1"/>
    </row>
    <row r="1019" spans="1:23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2"/>
      <c r="P1019" s="1"/>
      <c r="Q1019" s="1"/>
      <c r="R1019" s="1"/>
      <c r="S1019" s="1"/>
      <c r="T1019" s="1"/>
      <c r="U1019" s="1"/>
      <c r="V1019" s="1"/>
      <c r="W1019" s="1"/>
    </row>
    <row r="1020" spans="1:23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2"/>
      <c r="P1020" s="1"/>
      <c r="Q1020" s="1"/>
      <c r="R1020" s="1"/>
      <c r="S1020" s="1"/>
      <c r="T1020" s="1"/>
      <c r="U1020" s="1"/>
      <c r="V1020" s="1"/>
      <c r="W1020" s="1"/>
    </row>
    <row r="1021" spans="1:23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2"/>
      <c r="P1021" s="1"/>
      <c r="Q1021" s="1"/>
      <c r="R1021" s="1"/>
      <c r="S1021" s="1"/>
      <c r="T1021" s="1"/>
      <c r="U1021" s="1"/>
      <c r="V1021" s="1"/>
      <c r="W1021" s="1"/>
    </row>
    <row r="1022" spans="1:23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2"/>
      <c r="P1022" s="1"/>
      <c r="Q1022" s="1"/>
      <c r="R1022" s="1"/>
      <c r="S1022" s="1"/>
      <c r="T1022" s="1"/>
      <c r="U1022" s="1"/>
      <c r="V1022" s="1"/>
      <c r="W1022" s="1"/>
    </row>
    <row r="1023" spans="1:23" ht="15.75" customHeight="1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2"/>
      <c r="P1023" s="1"/>
      <c r="Q1023" s="1"/>
      <c r="R1023" s="1"/>
      <c r="S1023" s="1"/>
      <c r="T1023" s="1"/>
      <c r="U1023" s="1"/>
      <c r="V1023" s="1"/>
      <c r="W1023" s="1"/>
    </row>
    <row r="1024" spans="1:23" ht="15.75" customHeight="1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2"/>
      <c r="P1024" s="1"/>
      <c r="Q1024" s="1"/>
      <c r="R1024" s="1"/>
      <c r="S1024" s="1"/>
      <c r="T1024" s="1"/>
      <c r="U1024" s="1"/>
      <c r="V1024" s="1"/>
      <c r="W1024" s="1"/>
    </row>
    <row r="1025" spans="1:23" ht="15.75" customHeight="1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2"/>
      <c r="P1025" s="1"/>
      <c r="Q1025" s="1"/>
      <c r="R1025" s="1"/>
      <c r="S1025" s="1"/>
      <c r="T1025" s="1"/>
      <c r="U1025" s="1"/>
      <c r="V1025" s="1"/>
      <c r="W1025" s="1"/>
    </row>
    <row r="1026" spans="1:23" ht="15.75" customHeight="1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2"/>
      <c r="P1026" s="1"/>
      <c r="Q1026" s="1"/>
      <c r="R1026" s="1"/>
      <c r="S1026" s="1"/>
      <c r="T1026" s="1"/>
      <c r="U1026" s="1"/>
      <c r="V1026" s="1"/>
      <c r="W1026" s="1"/>
    </row>
    <row r="1027" spans="1:23" ht="15.75" customHeight="1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2"/>
      <c r="P1027" s="1"/>
      <c r="Q1027" s="1"/>
      <c r="R1027" s="1"/>
      <c r="S1027" s="1"/>
      <c r="T1027" s="1"/>
      <c r="U1027" s="1"/>
      <c r="V1027" s="1"/>
      <c r="W1027" s="1"/>
    </row>
  </sheetData>
  <conditionalFormatting sqref="C3:O3 C4:N41 O4:O68 H42:H65 C42:G68 I42:N68">
    <cfRule type="expression" dxfId="0" priority="1">
      <formula>C3&lt;&gt;#REF!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308-barrels-muzzles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Wen, Yifan  (Student)</cp:lastModifiedBy>
  <dcterms:created xsi:type="dcterms:W3CDTF">2026-08-19T03:46:45Z</dcterms:created>
  <dcterms:modified xsi:type="dcterms:W3CDTF">2026-08-19T04:32:33Z</dcterms:modified>
</cp:coreProperties>
</file>