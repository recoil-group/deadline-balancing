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4DBE9C4D-81FB-409F-9480-9C2989A98A9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" l="1"/>
  <c r="AC5" i="1"/>
  <c r="AC6" i="1"/>
  <c r="AC7" i="1"/>
  <c r="AC8" i="1"/>
  <c r="AC9" i="1"/>
  <c r="AC10" i="1"/>
  <c r="AC11" i="1"/>
  <c r="AC12" i="1"/>
  <c r="AC3" i="1"/>
  <c r="C30" i="2"/>
  <c r="B20" i="2"/>
  <c r="AO12" i="1"/>
  <c r="AN12" i="1"/>
  <c r="AL12" i="1"/>
  <c r="AH12" i="1"/>
  <c r="AI12" i="1" s="1"/>
  <c r="AP12" i="1" s="1"/>
  <c r="Y12" i="1"/>
  <c r="X12" i="1"/>
  <c r="W12" i="1"/>
  <c r="V12" i="1"/>
  <c r="U12" i="1"/>
  <c r="T12" i="1"/>
  <c r="S12" i="1"/>
  <c r="AO11" i="1"/>
  <c r="AN11" i="1"/>
  <c r="AL11" i="1"/>
  <c r="AH11" i="1"/>
  <c r="AI11" i="1" s="1"/>
  <c r="AP11" i="1" s="1"/>
  <c r="Y11" i="1"/>
  <c r="X11" i="1"/>
  <c r="W11" i="1"/>
  <c r="V11" i="1"/>
  <c r="U11" i="1"/>
  <c r="T11" i="1"/>
  <c r="S11" i="1"/>
  <c r="AO10" i="1"/>
  <c r="AN10" i="1"/>
  <c r="AL10" i="1"/>
  <c r="AH10" i="1"/>
  <c r="AI10" i="1" s="1"/>
  <c r="AP10" i="1" s="1"/>
  <c r="Y10" i="1"/>
  <c r="X10" i="1"/>
  <c r="W10" i="1"/>
  <c r="V10" i="1"/>
  <c r="U10" i="1"/>
  <c r="T10" i="1"/>
  <c r="S10" i="1"/>
  <c r="AO9" i="1"/>
  <c r="AN9" i="1"/>
  <c r="AL9" i="1"/>
  <c r="AH9" i="1"/>
  <c r="AI9" i="1" s="1"/>
  <c r="AP9" i="1" s="1"/>
  <c r="Y9" i="1"/>
  <c r="X9" i="1"/>
  <c r="W9" i="1"/>
  <c r="V9" i="1"/>
  <c r="U9" i="1"/>
  <c r="T9" i="1"/>
  <c r="S9" i="1"/>
  <c r="AO8" i="1"/>
  <c r="AN8" i="1"/>
  <c r="AL8" i="1"/>
  <c r="AH8" i="1"/>
  <c r="AI8" i="1" s="1"/>
  <c r="AP8" i="1" s="1"/>
  <c r="Y8" i="1"/>
  <c r="X8" i="1"/>
  <c r="W8" i="1"/>
  <c r="V8" i="1"/>
  <c r="U8" i="1"/>
  <c r="T8" i="1"/>
  <c r="S8" i="1"/>
  <c r="AO7" i="1"/>
  <c r="AN7" i="1"/>
  <c r="AL7" i="1"/>
  <c r="AH7" i="1"/>
  <c r="AI7" i="1" s="1"/>
  <c r="AP7" i="1" s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Y6" i="1"/>
  <c r="X6" i="1"/>
  <c r="W6" i="1"/>
  <c r="V6" i="1"/>
  <c r="U6" i="1"/>
  <c r="T6" i="1"/>
  <c r="S6" i="1"/>
  <c r="AO5" i="1"/>
  <c r="AN5" i="1"/>
  <c r="AL5" i="1"/>
  <c r="AH5" i="1"/>
  <c r="AI5" i="1" s="1"/>
  <c r="AP5" i="1" s="1"/>
  <c r="Y5" i="1"/>
  <c r="X5" i="1"/>
  <c r="W5" i="1"/>
  <c r="V5" i="1"/>
  <c r="U5" i="1"/>
  <c r="T5" i="1"/>
  <c r="S5" i="1"/>
  <c r="AO4" i="1"/>
  <c r="AN4" i="1"/>
  <c r="AL4" i="1"/>
  <c r="AH4" i="1"/>
  <c r="AI4" i="1" s="1"/>
  <c r="AP4" i="1" s="1"/>
  <c r="Y4" i="1"/>
  <c r="X4" i="1"/>
  <c r="W4" i="1"/>
  <c r="V4" i="1"/>
  <c r="U4" i="1"/>
  <c r="T4" i="1"/>
  <c r="S4" i="1"/>
  <c r="AO3" i="1"/>
  <c r="AN3" i="1"/>
  <c r="AL3" i="1"/>
  <c r="AH3" i="1"/>
  <c r="AI3" i="1" s="1"/>
  <c r="AP3" i="1" s="1"/>
  <c r="Y3" i="1"/>
  <c r="X3" i="1"/>
  <c r="W3" i="1"/>
  <c r="V3" i="1"/>
  <c r="U3" i="1"/>
  <c r="T3" i="1"/>
  <c r="S3" i="1"/>
  <c r="Z8" i="1" l="1"/>
  <c r="AM8" i="1" s="1"/>
  <c r="Z3" i="1"/>
  <c r="AM3" i="1" s="1"/>
  <c r="Z9" i="1"/>
  <c r="AM9" i="1" s="1"/>
  <c r="Z6" i="1"/>
  <c r="AM6" i="1" s="1"/>
  <c r="Z12" i="1"/>
  <c r="AM12" i="1" s="1"/>
  <c r="Z5" i="1"/>
  <c r="AM5" i="1" s="1"/>
  <c r="Z4" i="1"/>
  <c r="AM4" i="1" s="1"/>
  <c r="Z10" i="1"/>
  <c r="AM10" i="1" s="1"/>
  <c r="Z11" i="1"/>
  <c r="AM11" i="1" s="1"/>
  <c r="AQ11" i="1" s="1"/>
  <c r="AQ8" i="1"/>
  <c r="AQ7" i="1"/>
  <c r="AQ12" i="1"/>
  <c r="AQ9" i="1"/>
  <c r="AQ3" i="1"/>
  <c r="AQ4" i="1"/>
  <c r="AQ10" i="1"/>
  <c r="AQ6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L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S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I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<sst xmlns="http://schemas.openxmlformats.org/spreadsheetml/2006/main" count="136" uniqueCount="104">
  <si>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</si>
  <si>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</si>
  <si>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</si>
  <si>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</si>
  <si>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</si>
  <si>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</si>
  <si>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</si>
  <si>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</si>
  <si>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</si>
  <si>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</si>
  <si>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</si>
  <si>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</si>
  <si>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</si>
  <si>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</si>
  <si>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</si>
  <si>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</si>
  <si>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</si>
  <si>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</si>
  <si>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</si>
  <si>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</si>
  <si>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</si>
  <si>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</si>
  <si>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</si>
  <si>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</si>
  <si>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</si>
  <si>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</si>
  <si>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</si>
  <si>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</si>
  <si>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</si>
  <si>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</si>
  <si>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</si>
  <si>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</si>
  <si>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</si>
  <si>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</si>
  <si>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</si>
  <si>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</si>
  <si>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</si>
  <si>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</si>
  <si>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</si>
  <si>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</si>
  <si>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</si>
  <si>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</si>
  <si>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</si>
  <si>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</si>
  <si>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</si>
  <si>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</si>
  <si>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</si>
  <si>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</si>
  <si>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</si>
  <si>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</si>
  <si>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</si>
  <si>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</si>
  <si>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</si>
  <si>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</si>
  <si>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</si>
  <si>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</si>
  <si>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</si>
  <si>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</si>
  <si>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</si>
  <si>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</si>
  <si>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</si>
  <si>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</si>
  <si>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</si>
  <si>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</si>
  <si>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</si>
  <si>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</si>
  <si>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</si>
  <si>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</si>
  <si>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</si>
  <si>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</si>
  <si>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</si>
  <si>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</si>
  <si>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</si>
  <si>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</si>
  <si>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</si>
  <si>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</si>
  <si>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</si>
  <si>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</si>
  <si>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</si>
  <si>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</si>
  <si>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</si>
  <si>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</si>
  <si>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</si>
  <si>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</si>
  <si>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</si>
  <si>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</si>
  <si>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</si>
  <si>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</si>
  <si>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</si>
  <si>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</si>
  <si>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</si>
  <si>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</si>
  <si>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</si>
  <si>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</si>
  <si>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</si>
  <si>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</si>
  <si>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</si>
  <si>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</si>
  <si>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</si>
  <si>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</si>
  <si>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</si>
  <si>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damage_arm_d</t>
  </si>
  <si>
    <t>damage_leg_d</t>
  </si>
  <si>
    <t>damage_head_d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</si>
</sst>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7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  <font>
      <sz val="8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49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Q12" totalsRowShown="0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12"/>
    <tableColumn id="4" xr3:uid="{00000000-0010-0000-0000-000004000000}" name="weight"/>
    <tableColumn id="5" xr3:uid="{00000000-0010-0000-0000-000005000000}" name="horizontal_recoil" dataDxfId="11"/>
    <tableColumn id="6" xr3:uid="{00000000-0010-0000-0000-000006000000}" name="vertical_recoil" dataDxfId="10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9"/>
    <tableColumn id="10" xr3:uid="{00000000-0010-0000-0000-00000A000000}" name="fire_rate" dataDxfId="8"/>
    <tableColumn id="11" xr3:uid="{00000000-0010-0000-0000-00000B000000}" name="price" dataDxfId="7"/>
    <tableColumn id="12" xr3:uid="{00000000-0010-0000-0000-00000C000000}" name="damage_torso_a" dataDxfId="6"/>
    <tableColumn id="13" xr3:uid="{00000000-0010-0000-0000-00000D000000}" name="damage_torso_b" dataDxfId="5"/>
    <tableColumn id="14" xr3:uid="{00000000-0010-0000-0000-00000E000000}" name="damage_torso_c" dataDxfId="4"/>
    <tableColumn id="15" xr3:uid="{00000000-0010-0000-0000-00000F000000}" name="damage_torso_d" dataDxfId="3"/>
    <tableColumn id="43" xr3:uid="{D5021237-E759-4A3A-B219-A4E638DB2DAD}" name="damage_arm_d" dataDxfId="2"/>
    <tableColumn id="45" xr3:uid="{55603E35-2152-4FD3-9598-9256E449C5B0}" name="damage_leg_d" dataDxfId="0"/>
    <tableColumn id="44" xr3:uid="{8CA87E20-CD33-48FB-A112-3BC0E2D56BD8}" name="damage_head_d" dataDxfId="1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/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dT="2026-07-16T07:32:03.79" personId="{44D167D2-DCE2-4AD6-AB96-B8D142E6A4E1}" id="{A569BF01-BDF5-810D-9627-257FA0348527}">
    <text>Direct values from calibers.csv. Edit these cells on this sheet to tune the ammo model.</text>
  </threadedComment>
  <threadedComment ref="S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I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2"/>
  <sheetViews>
    <sheetView showGridLines="0" tabSelected="1" zoomScaleNormal="100" workbookViewId="0">
      <selection activeCell="H7" sqref="H7"/>
    </sheetView>
  </sheetViews>
  <sheetFormatPr defaultRowHeight="14.25"/>
  <cols>
    <col min="1" max="1" width="26.125" customWidth="1"/>
    <col min="2" max="2" width="22.75" customWidth="1"/>
    <col min="3" max="8" width="5.625" customWidth="1"/>
    <col min="9" max="9" width="8" customWidth="1"/>
    <col min="10" max="28" width="5.625" customWidth="1"/>
    <col min="29" max="29" width="27.125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 t="s">
        <v>1</v>
      </c>
      <c r="M1" s="48"/>
      <c r="N1" s="48"/>
      <c r="O1" s="48"/>
      <c r="P1" s="44"/>
      <c r="Q1" s="44"/>
      <c r="R1" s="44"/>
      <c r="S1" s="49" t="s">
        <v>2</v>
      </c>
      <c r="T1" s="49"/>
      <c r="U1" s="49"/>
      <c r="V1" s="49"/>
      <c r="W1" s="49"/>
      <c r="X1" s="49"/>
      <c r="Y1" s="49"/>
      <c r="Z1" s="49"/>
      <c r="AA1" s="48" t="s">
        <v>3</v>
      </c>
      <c r="AB1" s="48"/>
      <c r="AC1" s="48"/>
      <c r="AD1" s="48"/>
      <c r="AE1" s="48"/>
      <c r="AF1" s="48"/>
      <c r="AG1" s="48"/>
      <c r="AH1" s="50" t="s">
        <v>4</v>
      </c>
      <c r="AI1" s="50"/>
      <c r="AJ1" s="45" t="s">
        <v>5</v>
      </c>
      <c r="AK1" s="45"/>
      <c r="AL1" s="46" t="s">
        <v>6</v>
      </c>
      <c r="AM1" s="46"/>
      <c r="AN1" s="46"/>
      <c r="AO1" s="46"/>
      <c r="AP1" s="46"/>
      <c r="AQ1" s="46"/>
    </row>
    <row r="2" spans="1:43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101</v>
      </c>
      <c r="Q2" s="1" t="s">
        <v>102</v>
      </c>
      <c r="R2" s="1" t="s">
        <v>103</v>
      </c>
      <c r="S2" s="1" t="s">
        <v>22</v>
      </c>
      <c r="T2" s="1" t="s">
        <v>23</v>
      </c>
      <c r="U2" s="1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</row>
    <row r="3" spans="1:43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41">
        <v>0</v>
      </c>
      <c r="L3" s="3">
        <v>-2.5999999999999999E-2</v>
      </c>
      <c r="M3" s="3">
        <v>56</v>
      </c>
      <c r="N3" s="3">
        <v>56</v>
      </c>
      <c r="O3" s="3">
        <v>1</v>
      </c>
      <c r="P3" s="3">
        <v>0.3</v>
      </c>
      <c r="Q3" s="3">
        <v>0.5</v>
      </c>
      <c r="R3" s="3">
        <v>2.5</v>
      </c>
      <c r="S3" s="13">
        <f>MAX(MIN($L3*Model!$A$13+$M3,$N3)*$O3,0)</f>
        <v>55.35</v>
      </c>
      <c r="T3" s="13">
        <f>MAX(MIN($L3*Model!$A$14+$M3,$N3)*$O3,0)</f>
        <v>54.05</v>
      </c>
      <c r="U3" s="13">
        <f>MAX(MIN($L3*Model!$A$15+$M3,$N3)*$O3,0)</f>
        <v>52.1</v>
      </c>
      <c r="V3" s="13">
        <f>MAX(MIN($L3*Model!$A$16+$M3,$N3)*$O3,0)</f>
        <v>49.5</v>
      </c>
      <c r="W3" s="13">
        <f>MAX(MIN($L3*Model!$A$17+$M3,$N3)*$O3,0)</f>
        <v>46.25</v>
      </c>
      <c r="X3" s="13">
        <f>MAX(MIN($L3*Model!$A$18+$M3,$N3)*$O3,0)</f>
        <v>45.6</v>
      </c>
      <c r="Y3" s="13">
        <f>MAX(MIN($L3*Model!$A$19+$M3,$N3)*$O3,0)</f>
        <v>43</v>
      </c>
      <c r="Z3" s="13">
        <f>S3*Model!$B$13+T3*Model!$B$14+U3*Model!$B$15+V3*Model!$B$16+W3*Model!$B$17+X3*Model!$B$18+Y3*Model!$B$19</f>
        <v>51.45</v>
      </c>
      <c r="AA3" s="11">
        <v>0.5</v>
      </c>
      <c r="AB3" s="11">
        <v>0.75</v>
      </c>
      <c r="AC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stat(bullet_velocity;0.4;1.2;1500;3000)</v>
      </c>
      <c r="AD3" s="11">
        <v>0.4</v>
      </c>
      <c r="AE3" s="11">
        <v>1.2</v>
      </c>
      <c r="AF3" s="15">
        <v>1500</v>
      </c>
      <c r="AG3" s="15">
        <v>3000</v>
      </c>
      <c r="AH3" s="16">
        <f>Model!$B$4+IF(I3="",0,I3)</f>
        <v>2343</v>
      </c>
      <c r="AI3" s="13">
        <f t="shared" ref="AI3:AI12" si="0">MAX(AD3,MIN(AE3,AD3+(AH3-AF3)*(AE3-AD3)/(AG3-AF3)))</f>
        <v>0.84960000000000002</v>
      </c>
      <c r="AJ3" s="19">
        <v>19</v>
      </c>
      <c r="AK3" s="4" t="s">
        <v>49</v>
      </c>
      <c r="AL3" s="21">
        <f>C3*Model!$B$24+D3*Model!$B$25+E3*Model!$B$26+F3*Model!$B$27+G3*Model!$B$28+H3*Model!$B$29+I3*Model!$B$30+J3*Model!$B$31+K3*Model!$B$32</f>
        <v>0</v>
      </c>
      <c r="AM3" s="21">
        <f>(Z3-Model!$B$5)*Model!$B$35</f>
        <v>2.1750000000000043</v>
      </c>
      <c r="AN3" s="21">
        <f>(Model!$B$6-AA3)*Model!$B$36</f>
        <v>-0.30000000000000004</v>
      </c>
      <c r="AO3" s="21">
        <f>(AB3-Model!$B$7)*Model!$B$37</f>
        <v>-0.29999999999999993</v>
      </c>
      <c r="AP3" s="21">
        <f>(AI3-Model!$B$8)*Model!$B$38</f>
        <v>-0.60159999999999991</v>
      </c>
      <c r="AQ3" s="21">
        <f t="shared" ref="AQ3:AQ12" si="1">SUM(AL3:AP3)</f>
        <v>0.97340000000000426</v>
      </c>
    </row>
    <row r="4" spans="1:43">
      <c r="A4" s="2" t="s">
        <v>50</v>
      </c>
      <c r="B4" s="2" t="s">
        <v>51</v>
      </c>
      <c r="C4" s="38">
        <v>2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25</v>
      </c>
      <c r="J4" s="7"/>
      <c r="K4" s="41">
        <v>500</v>
      </c>
      <c r="L4" s="3">
        <v>-2.8000000000000001E-2</v>
      </c>
      <c r="M4" s="3">
        <v>55</v>
      </c>
      <c r="N4" s="3">
        <v>55</v>
      </c>
      <c r="O4" s="3">
        <v>1</v>
      </c>
      <c r="P4" s="3">
        <v>0.3</v>
      </c>
      <c r="Q4" s="3">
        <v>0.5</v>
      </c>
      <c r="R4" s="3">
        <v>2.5</v>
      </c>
      <c r="S4" s="13">
        <f>MAX(MIN($L4*Model!$A$13+$M4,$N4)*$O4,0)</f>
        <v>54.3</v>
      </c>
      <c r="T4" s="13">
        <f>MAX(MIN($L4*Model!$A$14+$M4,$N4)*$O4,0)</f>
        <v>52.9</v>
      </c>
      <c r="U4" s="13">
        <f>MAX(MIN($L4*Model!$A$15+$M4,$N4)*$O4,0)</f>
        <v>50.8</v>
      </c>
      <c r="V4" s="13">
        <f>MAX(MIN($L4*Model!$A$16+$M4,$N4)*$O4,0)</f>
        <v>48</v>
      </c>
      <c r="W4" s="13">
        <f>MAX(MIN($L4*Model!$A$17+$M4,$N4)*$O4,0)</f>
        <v>44.5</v>
      </c>
      <c r="X4" s="13">
        <f>MAX(MIN($L4*Model!$A$18+$M4,$N4)*$O4,0)</f>
        <v>43.8</v>
      </c>
      <c r="Y4" s="13">
        <f>MAX(MIN($L4*Model!$A$19+$M4,$N4)*$O4,0)</f>
        <v>41</v>
      </c>
      <c r="Z4" s="13">
        <f>S4*Model!$B$13+T4*Model!$B$14+U4*Model!$B$15+V4*Model!$B$16+W4*Model!$B$17+X4*Model!$B$18+Y4*Model!$B$19</f>
        <v>50.1</v>
      </c>
      <c r="AA4" s="11">
        <v>0.55000000000000004</v>
      </c>
      <c r="AB4" s="11">
        <v>1.05</v>
      </c>
      <c r="AC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stat(bullet_velocity;0.3;1.1;1500;3000)</v>
      </c>
      <c r="AD4" s="11">
        <v>0.3</v>
      </c>
      <c r="AE4" s="11">
        <v>1.1000000000000001</v>
      </c>
      <c r="AF4" s="15">
        <v>1500</v>
      </c>
      <c r="AG4" s="15">
        <v>3000</v>
      </c>
      <c r="AH4" s="16">
        <f>Model!$B$4+IF(I4="",0,I4)</f>
        <v>2368</v>
      </c>
      <c r="AI4" s="13">
        <f t="shared" si="0"/>
        <v>0.76293333333333346</v>
      </c>
      <c r="AJ4" s="19">
        <v>22</v>
      </c>
      <c r="AK4" s="4" t="s">
        <v>49</v>
      </c>
      <c r="AL4" s="21">
        <f>C4*Model!$B$24+D4*Model!$B$25+E4*Model!$B$26+F4*Model!$B$27+G4*Model!$B$28+H4*Model!$B$29+I4*Model!$B$30+J4*Model!$B$31+K4*Model!$B$32</f>
        <v>2.4250000000000003</v>
      </c>
      <c r="AM4" s="21">
        <f>(Z4-Model!$B$5)*Model!$B$35</f>
        <v>0.15000000000000213</v>
      </c>
      <c r="AN4" s="21">
        <f>(Model!$B$6-AA4)*Model!$B$36</f>
        <v>-0.40000000000000013</v>
      </c>
      <c r="AO4" s="21">
        <f>(AB4-Model!$B$7)*Model!$B$37</f>
        <v>0.6000000000000002</v>
      </c>
      <c r="AP4" s="21">
        <f>(AI4-Model!$B$8)*Model!$B$38</f>
        <v>-0.94826666666666615</v>
      </c>
      <c r="AQ4" s="21">
        <f t="shared" si="1"/>
        <v>1.8267333333333364</v>
      </c>
    </row>
    <row r="5" spans="1:43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41">
        <v>750</v>
      </c>
      <c r="L5" s="3">
        <v>-2.4E-2</v>
      </c>
      <c r="M5" s="3">
        <v>56.5</v>
      </c>
      <c r="N5" s="3">
        <v>56.5</v>
      </c>
      <c r="O5" s="3">
        <v>1</v>
      </c>
      <c r="P5" s="3">
        <v>0.3</v>
      </c>
      <c r="Q5" s="3">
        <v>0.5</v>
      </c>
      <c r="R5" s="3">
        <v>2.5</v>
      </c>
      <c r="S5" s="13">
        <f>MAX(MIN($L5*Model!$A$13+$M5,$N5)*$O5,0)</f>
        <v>55.9</v>
      </c>
      <c r="T5" s="13">
        <f>MAX(MIN($L5*Model!$A$14+$M5,$N5)*$O5,0)</f>
        <v>54.7</v>
      </c>
      <c r="U5" s="13">
        <f>MAX(MIN($L5*Model!$A$15+$M5,$N5)*$O5,0)</f>
        <v>52.9</v>
      </c>
      <c r="V5" s="13">
        <f>MAX(MIN($L5*Model!$A$16+$M5,$N5)*$O5,0)</f>
        <v>50.5</v>
      </c>
      <c r="W5" s="13">
        <f>MAX(MIN($L5*Model!$A$17+$M5,$N5)*$O5,0)</f>
        <v>47.5</v>
      </c>
      <c r="X5" s="13">
        <f>MAX(MIN($L5*Model!$A$18+$M5,$N5)*$O5,0)</f>
        <v>46.9</v>
      </c>
      <c r="Y5" s="13">
        <f>MAX(MIN($L5*Model!$A$19+$M5,$N5)*$O5,0)</f>
        <v>44.5</v>
      </c>
      <c r="Z5" s="13">
        <f>S5*Model!$B$13+T5*Model!$B$14+U5*Model!$B$15+V5*Model!$B$16+W5*Model!$B$17+X5*Model!$B$18+Y5*Model!$B$19</f>
        <v>52.300000000000004</v>
      </c>
      <c r="AA5" s="11">
        <v>0.45</v>
      </c>
      <c r="AB5" s="11">
        <v>0.75</v>
      </c>
      <c r="AC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stat(bullet_velocity;0.5;1.3;1500;3000)</v>
      </c>
      <c r="AD5" s="11">
        <v>0.5</v>
      </c>
      <c r="AE5" s="11">
        <v>1.3</v>
      </c>
      <c r="AF5" s="15">
        <v>1500</v>
      </c>
      <c r="AG5" s="15">
        <v>3000</v>
      </c>
      <c r="AH5" s="16">
        <f>Model!$B$4+IF(I5="",0,I5)</f>
        <v>2318</v>
      </c>
      <c r="AI5" s="13">
        <f t="shared" si="0"/>
        <v>0.9362666666666668</v>
      </c>
      <c r="AJ5" s="19">
        <v>25</v>
      </c>
      <c r="AK5" s="4" t="s">
        <v>49</v>
      </c>
      <c r="AL5" s="21">
        <f>C5*Model!$B$24+D5*Model!$B$25+E5*Model!$B$26+F5*Model!$B$27+G5*Model!$B$28+H5*Model!$B$29+I5*Model!$B$30+J5*Model!$B$31+K5*Model!$B$32</f>
        <v>-1.625</v>
      </c>
      <c r="AM5" s="21">
        <f>(Z5-Model!$B$5)*Model!$B$35</f>
        <v>3.4500000000000064</v>
      </c>
      <c r="AN5" s="21">
        <f>(Model!$B$6-AA5)*Model!$B$36</f>
        <v>-0.20000000000000007</v>
      </c>
      <c r="AO5" s="21">
        <f>(AB5-Model!$B$7)*Model!$B$37</f>
        <v>-0.29999999999999993</v>
      </c>
      <c r="AP5" s="21">
        <f>(AI5-Model!$B$8)*Model!$B$38</f>
        <v>-0.25493333333333279</v>
      </c>
      <c r="AQ5" s="21">
        <f t="shared" si="1"/>
        <v>1.0700666666666736</v>
      </c>
    </row>
    <row r="6" spans="1:43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41">
        <v>1250</v>
      </c>
      <c r="L6" s="3">
        <v>-2.1999999999999999E-2</v>
      </c>
      <c r="M6" s="3">
        <v>54.5</v>
      </c>
      <c r="N6" s="3">
        <v>53</v>
      </c>
      <c r="O6" s="3">
        <v>1</v>
      </c>
      <c r="P6" s="3">
        <v>0.25</v>
      </c>
      <c r="Q6" s="3">
        <v>0.45</v>
      </c>
      <c r="R6" s="3">
        <v>2.5</v>
      </c>
      <c r="S6" s="13">
        <f>MAX(MIN($L6*Model!$A$13+$M6,$N6)*$O6,0)</f>
        <v>53</v>
      </c>
      <c r="T6" s="13">
        <f>MAX(MIN($L6*Model!$A$14+$M6,$N6)*$O6,0)</f>
        <v>52.85</v>
      </c>
      <c r="U6" s="13">
        <f>MAX(MIN($L6*Model!$A$15+$M6,$N6)*$O6,0)</f>
        <v>51.2</v>
      </c>
      <c r="V6" s="13">
        <f>MAX(MIN($L6*Model!$A$16+$M6,$N6)*$O6,0)</f>
        <v>49</v>
      </c>
      <c r="W6" s="13">
        <f>MAX(MIN($L6*Model!$A$17+$M6,$N6)*$O6,0)</f>
        <v>46.25</v>
      </c>
      <c r="X6" s="13">
        <f>MAX(MIN($L6*Model!$A$18+$M6,$N6)*$O6,0)</f>
        <v>45.7</v>
      </c>
      <c r="Y6" s="13">
        <f>MAX(MIN($L6*Model!$A$19+$M6,$N6)*$O6,0)</f>
        <v>43.5</v>
      </c>
      <c r="Z6" s="13">
        <f>S6*Model!$B$13+T6*Model!$B$14+U6*Model!$B$15+V6*Model!$B$16+W6*Model!$B$17+X6*Model!$B$18+Y6*Model!$B$19</f>
        <v>50.460000000000008</v>
      </c>
      <c r="AA6" s="11">
        <v>0.45</v>
      </c>
      <c r="AB6" s="11">
        <v>0.8</v>
      </c>
      <c r="AC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stat(bullet_velocity;0.75;1.55;1500;3000)</v>
      </c>
      <c r="AD6" s="11">
        <v>0.75</v>
      </c>
      <c r="AE6" s="11">
        <v>1.55</v>
      </c>
      <c r="AF6" s="15">
        <v>1500</v>
      </c>
      <c r="AG6" s="15">
        <v>3000</v>
      </c>
      <c r="AH6" s="16">
        <f>Model!$B$4+IF(I6="",0,I6)</f>
        <v>2318</v>
      </c>
      <c r="AI6" s="13">
        <f t="shared" si="0"/>
        <v>1.1862666666666668</v>
      </c>
      <c r="AJ6" s="19">
        <v>21</v>
      </c>
      <c r="AK6" s="4" t="s">
        <v>49</v>
      </c>
      <c r="AL6" s="21">
        <f>C6*Model!$B$24+D6*Model!$B$25+E6*Model!$B$26+F6*Model!$B$27+G6*Model!$B$28+H6*Model!$B$29+I6*Model!$B$30+J6*Model!$B$31+K6*Model!$B$32</f>
        <v>-0.52500000000000002</v>
      </c>
      <c r="AM6" s="21">
        <f>(Z6-Model!$B$5)*Model!$B$35</f>
        <v>0.69000000000001194</v>
      </c>
      <c r="AN6" s="21">
        <f>(Model!$B$6-AA6)*Model!$B$36</f>
        <v>-0.20000000000000007</v>
      </c>
      <c r="AO6" s="21">
        <f>(AB6-Model!$B$7)*Model!$B$37</f>
        <v>-0.1499999999999998</v>
      </c>
      <c r="AP6" s="21">
        <f>(AI6-Model!$B$8)*Model!$B$38</f>
        <v>0.74506666666666721</v>
      </c>
      <c r="AQ6" s="21">
        <f t="shared" si="1"/>
        <v>0.56006666666667926</v>
      </c>
    </row>
    <row r="7" spans="1:43">
      <c r="A7" s="2" t="s">
        <v>56</v>
      </c>
      <c r="B7" s="2" t="s">
        <v>57</v>
      </c>
      <c r="C7" s="38">
        <v>0</v>
      </c>
      <c r="D7" s="7">
        <v>0.04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41">
        <v>1000</v>
      </c>
      <c r="L7" s="3">
        <v>-3.4000000000000002E-2</v>
      </c>
      <c r="M7" s="3">
        <v>60</v>
      </c>
      <c r="N7" s="3">
        <v>59</v>
      </c>
      <c r="O7" s="3">
        <v>1</v>
      </c>
      <c r="P7" s="3">
        <v>0.3</v>
      </c>
      <c r="Q7" s="3">
        <v>0.5</v>
      </c>
      <c r="R7" s="3">
        <v>2.5</v>
      </c>
      <c r="S7" s="13">
        <f>MAX(MIN($L7*Model!$A$13+$M7,$N7)*$O7,0)</f>
        <v>59</v>
      </c>
      <c r="T7" s="13">
        <f>MAX(MIN($L7*Model!$A$14+$M7,$N7)*$O7,0)</f>
        <v>57.45</v>
      </c>
      <c r="U7" s="13">
        <f>MAX(MIN($L7*Model!$A$15+$M7,$N7)*$O7,0)</f>
        <v>54.9</v>
      </c>
      <c r="V7" s="13">
        <f>MAX(MIN($L7*Model!$A$16+$M7,$N7)*$O7,0)</f>
        <v>51.5</v>
      </c>
      <c r="W7" s="13">
        <f>MAX(MIN($L7*Model!$A$17+$M7,$N7)*$O7,0)</f>
        <v>47.25</v>
      </c>
      <c r="X7" s="13">
        <f>MAX(MIN($L7*Model!$A$18+$M7,$N7)*$O7,0)</f>
        <v>46.4</v>
      </c>
      <c r="Y7" s="13">
        <f>MAX(MIN($L7*Model!$A$19+$M7,$N7)*$O7,0)</f>
        <v>43</v>
      </c>
      <c r="Z7" s="13">
        <f>S7*Model!$B$13+T7*Model!$B$14+U7*Model!$B$15+V7*Model!$B$16+W7*Model!$B$17+X7*Model!$B$18+Y7*Model!$B$19</f>
        <v>54.02000000000001</v>
      </c>
      <c r="AA7" s="11">
        <v>0.55000000000000004</v>
      </c>
      <c r="AB7" s="11">
        <v>0.8</v>
      </c>
      <c r="AC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stat(bullet_velocity;0.45;1.25;1500;3000)</v>
      </c>
      <c r="AD7" s="11">
        <v>0.45</v>
      </c>
      <c r="AE7" s="11">
        <v>1.25</v>
      </c>
      <c r="AF7" s="15">
        <v>1500</v>
      </c>
      <c r="AG7" s="15">
        <v>3000</v>
      </c>
      <c r="AH7" s="16">
        <f>Model!$B$4+IF(I7="",0,I7)</f>
        <v>2268</v>
      </c>
      <c r="AI7" s="13">
        <f t="shared" si="0"/>
        <v>0.85960000000000014</v>
      </c>
      <c r="AJ7" s="19">
        <v>20</v>
      </c>
      <c r="AK7" s="4" t="s">
        <v>49</v>
      </c>
      <c r="AL7" s="21">
        <f>C7*Model!$B$24+D7*Model!$B$25+E7*Model!$B$26+F7*Model!$B$27+G7*Model!$B$28+H7*Model!$B$29+I7*Model!$B$30+J7*Model!$B$31+K7*Model!$B$32</f>
        <v>-3.0750000000000002</v>
      </c>
      <c r="AM7" s="21">
        <f>(Z7-Model!$B$5)*Model!$B$35</f>
        <v>6.0300000000000153</v>
      </c>
      <c r="AN7" s="21">
        <f>(Model!$B$6-AA7)*Model!$B$36</f>
        <v>-0.40000000000000013</v>
      </c>
      <c r="AO7" s="21">
        <f>(AB7-Model!$B$7)*Model!$B$37</f>
        <v>-0.1499999999999998</v>
      </c>
      <c r="AP7" s="21">
        <f>(AI7-Model!$B$8)*Model!$B$38</f>
        <v>-0.56159999999999943</v>
      </c>
      <c r="AQ7" s="21">
        <f t="shared" si="1"/>
        <v>1.8434000000000155</v>
      </c>
    </row>
    <row r="8" spans="1:43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41">
        <v>2000</v>
      </c>
      <c r="L8" s="3">
        <v>-1.6E-2</v>
      </c>
      <c r="M8" s="3">
        <v>56</v>
      </c>
      <c r="N8" s="3">
        <v>56</v>
      </c>
      <c r="O8" s="3">
        <v>1</v>
      </c>
      <c r="P8" s="3">
        <v>0.3</v>
      </c>
      <c r="Q8" s="3">
        <v>0.5</v>
      </c>
      <c r="R8" s="3">
        <v>2.5</v>
      </c>
      <c r="S8" s="13">
        <f>MAX(MIN($L8*Model!$A$13+$M8,$N8)*$O8,0)</f>
        <v>55.6</v>
      </c>
      <c r="T8" s="13">
        <f>MAX(MIN($L8*Model!$A$14+$M8,$N8)*$O8,0)</f>
        <v>54.8</v>
      </c>
      <c r="U8" s="13">
        <f>MAX(MIN($L8*Model!$A$15+$M8,$N8)*$O8,0)</f>
        <v>53.6</v>
      </c>
      <c r="V8" s="13">
        <f>MAX(MIN($L8*Model!$A$16+$M8,$N8)*$O8,0)</f>
        <v>52</v>
      </c>
      <c r="W8" s="13">
        <f>MAX(MIN($L8*Model!$A$17+$M8,$N8)*$O8,0)</f>
        <v>50</v>
      </c>
      <c r="X8" s="13">
        <f>MAX(MIN($L8*Model!$A$18+$M8,$N8)*$O8,0)</f>
        <v>49.6</v>
      </c>
      <c r="Y8" s="13">
        <f>MAX(MIN($L8*Model!$A$19+$M8,$N8)*$O8,0)</f>
        <v>48</v>
      </c>
      <c r="Z8" s="13">
        <f>S8*Model!$B$13+T8*Model!$B$14+U8*Model!$B$15+V8*Model!$B$16+W8*Model!$B$17+X8*Model!$B$18+Y8*Model!$B$19</f>
        <v>53.2</v>
      </c>
      <c r="AA8" s="11">
        <v>0.4</v>
      </c>
      <c r="AB8" s="11">
        <v>0.7</v>
      </c>
      <c r="AC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stat(bullet_velocity;0.25;1.05;1500;3000)</v>
      </c>
      <c r="AD8" s="11">
        <v>0.25</v>
      </c>
      <c r="AE8" s="11">
        <v>1.05</v>
      </c>
      <c r="AF8" s="15">
        <v>1500</v>
      </c>
      <c r="AG8" s="15">
        <v>3000</v>
      </c>
      <c r="AH8" s="16">
        <f>Model!$B$4+IF(I8="",0,I8)</f>
        <v>2318</v>
      </c>
      <c r="AI8" s="13">
        <f t="shared" si="0"/>
        <v>0.6862666666666668</v>
      </c>
      <c r="AJ8" s="19">
        <v>17</v>
      </c>
      <c r="AK8" s="4" t="s">
        <v>49</v>
      </c>
      <c r="AL8" s="21">
        <f>C8*Model!$B$24+D8*Model!$B$25+E8*Model!$B$26+F8*Model!$B$27+G8*Model!$B$28+H8*Model!$B$29+I8*Model!$B$30+J8*Model!$B$31+K8*Model!$B$32</f>
        <v>-1.125</v>
      </c>
      <c r="AM8" s="21">
        <f>(Z8-Model!$B$5)*Model!$B$35</f>
        <v>4.8000000000000043</v>
      </c>
      <c r="AN8" s="21">
        <f>(Model!$B$6-AA8)*Model!$B$36</f>
        <v>-0.10000000000000009</v>
      </c>
      <c r="AO8" s="21">
        <f>(AB8-Model!$B$7)*Model!$B$37</f>
        <v>-0.45000000000000007</v>
      </c>
      <c r="AP8" s="21">
        <f>(AI8-Model!$B$8)*Model!$B$38</f>
        <v>-1.2549333333333328</v>
      </c>
      <c r="AQ8" s="21">
        <f t="shared" si="1"/>
        <v>1.8700666666666712</v>
      </c>
    </row>
    <row r="9" spans="1:43">
      <c r="A9" s="2" t="s">
        <v>60</v>
      </c>
      <c r="B9" s="2" t="s">
        <v>61</v>
      </c>
      <c r="C9" s="38">
        <v>-1</v>
      </c>
      <c r="D9" s="7">
        <v>0.04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41">
        <v>2500</v>
      </c>
      <c r="L9" s="3">
        <v>-0.02</v>
      </c>
      <c r="M9" s="3">
        <v>58</v>
      </c>
      <c r="N9" s="3">
        <v>58</v>
      </c>
      <c r="O9" s="3">
        <v>1</v>
      </c>
      <c r="P9" s="3">
        <v>0.3</v>
      </c>
      <c r="Q9" s="3">
        <v>0.5</v>
      </c>
      <c r="R9" s="3">
        <v>2.5</v>
      </c>
      <c r="S9" s="13">
        <f>MAX(MIN($L9*Model!$A$13+$M9,$N9)*$O9,0)</f>
        <v>57.5</v>
      </c>
      <c r="T9" s="13">
        <f>MAX(MIN($L9*Model!$A$14+$M9,$N9)*$O9,0)</f>
        <v>56.5</v>
      </c>
      <c r="U9" s="13">
        <f>MAX(MIN($L9*Model!$A$15+$M9,$N9)*$O9,0)</f>
        <v>55</v>
      </c>
      <c r="V9" s="13">
        <f>MAX(MIN($L9*Model!$A$16+$M9,$N9)*$O9,0)</f>
        <v>53</v>
      </c>
      <c r="W9" s="13">
        <f>MAX(MIN($L9*Model!$A$17+$M9,$N9)*$O9,0)</f>
        <v>50.5</v>
      </c>
      <c r="X9" s="13">
        <f>MAX(MIN($L9*Model!$A$18+$M9,$N9)*$O9,0)</f>
        <v>50</v>
      </c>
      <c r="Y9" s="13">
        <f>MAX(MIN($L9*Model!$A$19+$M9,$N9)*$O9,0)</f>
        <v>48</v>
      </c>
      <c r="Z9" s="13">
        <f>S9*Model!$B$13+T9*Model!$B$14+U9*Model!$B$15+V9*Model!$B$16+W9*Model!$B$17+X9*Model!$B$18+Y9*Model!$B$19</f>
        <v>54.5</v>
      </c>
      <c r="AA9" s="11">
        <v>0.35</v>
      </c>
      <c r="AB9" s="11">
        <v>0.75</v>
      </c>
      <c r="AC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stat(bullet_velocity;0.2;1;1500;3000)</v>
      </c>
      <c r="AD9" s="11">
        <v>0.2</v>
      </c>
      <c r="AE9" s="11">
        <v>1</v>
      </c>
      <c r="AF9" s="15">
        <v>1500</v>
      </c>
      <c r="AG9" s="15">
        <v>3000</v>
      </c>
      <c r="AH9" s="16">
        <f>Model!$B$4+IF(I9="",0,I9)</f>
        <v>2243</v>
      </c>
      <c r="AI9" s="13">
        <f t="shared" si="0"/>
        <v>0.59626666666666672</v>
      </c>
      <c r="AJ9" s="19">
        <v>18</v>
      </c>
      <c r="AK9" s="4" t="s">
        <v>49</v>
      </c>
      <c r="AL9" s="21">
        <f>C9*Model!$B$24+D9*Model!$B$25+E9*Model!$B$26+F9*Model!$B$27+G9*Model!$B$28+H9*Model!$B$29+I9*Model!$B$30+J9*Model!$B$31+K9*Model!$B$32</f>
        <v>-2.5</v>
      </c>
      <c r="AM9" s="21">
        <f>(Z9-Model!$B$5)*Model!$B$35</f>
        <v>6.75</v>
      </c>
      <c r="AN9" s="21">
        <f>(Model!$B$6-AA9)*Model!$B$36</f>
        <v>0</v>
      </c>
      <c r="AO9" s="21">
        <f>(AB9-Model!$B$7)*Model!$B$37</f>
        <v>-0.29999999999999993</v>
      </c>
      <c r="AP9" s="21">
        <f>(AI9-Model!$B$8)*Model!$B$38</f>
        <v>-1.6149333333333331</v>
      </c>
      <c r="AQ9" s="21">
        <f t="shared" si="1"/>
        <v>2.3350666666666671</v>
      </c>
    </row>
    <row r="10" spans="1:43">
      <c r="A10" s="2" t="s">
        <v>62</v>
      </c>
      <c r="B10" s="2" t="s">
        <v>63</v>
      </c>
      <c r="C10" s="38">
        <v>-1</v>
      </c>
      <c r="D10" s="7">
        <v>0.06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41">
        <v>4000</v>
      </c>
      <c r="L10" s="3">
        <v>-2.5999999999999999E-2</v>
      </c>
      <c r="M10" s="3">
        <v>59</v>
      </c>
      <c r="N10" s="3">
        <v>57.5</v>
      </c>
      <c r="O10" s="3">
        <v>1</v>
      </c>
      <c r="P10" s="3">
        <v>0.3</v>
      </c>
      <c r="Q10" s="3">
        <v>0.5</v>
      </c>
      <c r="R10" s="3">
        <v>2.5</v>
      </c>
      <c r="S10" s="13">
        <f>MAX(MIN($L10*Model!$A$13+$M10,$N10)*$O10,0)</f>
        <v>57.5</v>
      </c>
      <c r="T10" s="13">
        <f>MAX(MIN($L10*Model!$A$14+$M10,$N10)*$O10,0)</f>
        <v>57.05</v>
      </c>
      <c r="U10" s="13">
        <f>MAX(MIN($L10*Model!$A$15+$M10,$N10)*$O10,0)</f>
        <v>55.1</v>
      </c>
      <c r="V10" s="13">
        <f>MAX(MIN($L10*Model!$A$16+$M10,$N10)*$O10,0)</f>
        <v>52.5</v>
      </c>
      <c r="W10" s="13">
        <f>MAX(MIN($L10*Model!$A$17+$M10,$N10)*$O10,0)</f>
        <v>49.25</v>
      </c>
      <c r="X10" s="13">
        <f>MAX(MIN($L10*Model!$A$18+$M10,$N10)*$O10,0)</f>
        <v>48.6</v>
      </c>
      <c r="Y10" s="13">
        <f>MAX(MIN($L10*Model!$A$19+$M10,$N10)*$O10,0)</f>
        <v>46</v>
      </c>
      <c r="Z10" s="13">
        <f>S10*Model!$B$13+T10*Model!$B$14+U10*Model!$B$15+V10*Model!$B$16+W10*Model!$B$17+X10*Model!$B$18+Y10*Model!$B$19</f>
        <v>54.28</v>
      </c>
      <c r="AA10" s="11">
        <v>0.45</v>
      </c>
      <c r="AB10" s="11">
        <v>0.85</v>
      </c>
      <c r="AC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stat(bullet_velocity;0.6;1.4;1500;3000)</v>
      </c>
      <c r="AD10" s="11">
        <v>0.6</v>
      </c>
      <c r="AE10" s="11">
        <v>1.4</v>
      </c>
      <c r="AF10" s="15">
        <v>1500</v>
      </c>
      <c r="AG10" s="15">
        <v>3000</v>
      </c>
      <c r="AH10" s="16">
        <f>Model!$B$4+IF(I10="",0,I10)</f>
        <v>2243</v>
      </c>
      <c r="AI10" s="13">
        <f t="shared" si="0"/>
        <v>0.99626666666666663</v>
      </c>
      <c r="AJ10" s="19">
        <v>26</v>
      </c>
      <c r="AK10" s="4" t="s">
        <v>49</v>
      </c>
      <c r="AL10" s="21">
        <f>C10*Model!$B$24+D10*Model!$B$25+E10*Model!$B$26+F10*Model!$B$27+G10*Model!$B$28+H10*Model!$B$29+I10*Model!$B$30+J10*Model!$B$31+K10*Model!$B$32</f>
        <v>-4</v>
      </c>
      <c r="AM10" s="21">
        <f>(Z10-Model!$B$5)*Model!$B$35</f>
        <v>6.4200000000000017</v>
      </c>
      <c r="AN10" s="21">
        <f>(Model!$B$6-AA10)*Model!$B$36</f>
        <v>-0.20000000000000007</v>
      </c>
      <c r="AO10" s="21">
        <f>(AB10-Model!$B$7)*Model!$B$37</f>
        <v>0</v>
      </c>
      <c r="AP10" s="21">
        <f>(AI10-Model!$B$8)*Model!$B$38</f>
        <v>-1.4933333333333465E-2</v>
      </c>
      <c r="AQ10" s="21">
        <f t="shared" si="1"/>
        <v>2.2050666666666681</v>
      </c>
    </row>
    <row r="11" spans="1:43">
      <c r="A11" s="2" t="s">
        <v>64</v>
      </c>
      <c r="B11" s="2" t="s">
        <v>65</v>
      </c>
      <c r="C11" s="38">
        <v>-1</v>
      </c>
      <c r="D11" s="7">
        <v>0.06</v>
      </c>
      <c r="E11" s="38">
        <v>2</v>
      </c>
      <c r="F11" s="38">
        <v>0</v>
      </c>
      <c r="G11" s="7">
        <v>-0.1</v>
      </c>
      <c r="H11" s="9"/>
      <c r="I11" s="38">
        <v>-100</v>
      </c>
      <c r="J11" s="7"/>
      <c r="K11" s="41">
        <v>4000</v>
      </c>
      <c r="L11" s="3">
        <v>-2.1999999999999999E-2</v>
      </c>
      <c r="M11" s="3">
        <v>57</v>
      </c>
      <c r="N11" s="3">
        <v>55</v>
      </c>
      <c r="O11" s="3">
        <v>1</v>
      </c>
      <c r="P11" s="3">
        <v>0.2</v>
      </c>
      <c r="Q11" s="3">
        <v>0.4</v>
      </c>
      <c r="R11" s="3">
        <v>2.5</v>
      </c>
      <c r="S11" s="13">
        <f>MAX(MIN($L11*Model!$A$13+$M11,$N11)*$O11,0)</f>
        <v>55</v>
      </c>
      <c r="T11" s="13">
        <f>MAX(MIN($L11*Model!$A$14+$M11,$N11)*$O11,0)</f>
        <v>55</v>
      </c>
      <c r="U11" s="13">
        <f>MAX(MIN($L11*Model!$A$15+$M11,$N11)*$O11,0)</f>
        <v>53.7</v>
      </c>
      <c r="V11" s="13">
        <f>MAX(MIN($L11*Model!$A$16+$M11,$N11)*$O11,0)</f>
        <v>51.5</v>
      </c>
      <c r="W11" s="13">
        <f>MAX(MIN($L11*Model!$A$17+$M11,$N11)*$O11,0)</f>
        <v>48.75</v>
      </c>
      <c r="X11" s="13">
        <f>MAX(MIN($L11*Model!$A$18+$M11,$N11)*$O11,0)</f>
        <v>48.2</v>
      </c>
      <c r="Y11" s="13">
        <f>MAX(MIN($L11*Model!$A$19+$M11,$N11)*$O11,0)</f>
        <v>46</v>
      </c>
      <c r="Z11" s="13">
        <f>S11*Model!$B$13+T11*Model!$B$14+U11*Model!$B$15+V11*Model!$B$16+W11*Model!$B$17+X11*Model!$B$18+Y11*Model!$B$19</f>
        <v>52.790000000000006</v>
      </c>
      <c r="AA11" s="11">
        <v>0.4</v>
      </c>
      <c r="AB11" s="11">
        <v>0.8</v>
      </c>
      <c r="AC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stat(bullet_velocity;1;1.8;1500;3000)</v>
      </c>
      <c r="AD11" s="11">
        <v>1</v>
      </c>
      <c r="AE11" s="11">
        <v>1.8</v>
      </c>
      <c r="AF11" s="15">
        <v>1500</v>
      </c>
      <c r="AG11" s="15">
        <v>3000</v>
      </c>
      <c r="AH11" s="16">
        <f>Model!$B$4+IF(I11="",0,I11)</f>
        <v>2243</v>
      </c>
      <c r="AI11" s="13">
        <f t="shared" si="0"/>
        <v>1.3962666666666665</v>
      </c>
      <c r="AJ11" s="19">
        <v>24</v>
      </c>
      <c r="AK11" s="4" t="s">
        <v>49</v>
      </c>
      <c r="AL11" s="21">
        <f>C11*Model!$B$24+D11*Model!$B$25+E11*Model!$B$26+F11*Model!$B$27+G11*Model!$B$28+H11*Model!$B$29+I11*Model!$B$30+J11*Model!$B$31+K11*Model!$B$32</f>
        <v>-3.3000000000000003</v>
      </c>
      <c r="AM11" s="21">
        <f>(Z11-Model!$B$5)*Model!$B$35</f>
        <v>4.1850000000000094</v>
      </c>
      <c r="AN11" s="21">
        <f>(Model!$B$6-AA11)*Model!$B$36</f>
        <v>-0.10000000000000009</v>
      </c>
      <c r="AO11" s="21">
        <f>(AB11-Model!$B$7)*Model!$B$37</f>
        <v>-0.1499999999999998</v>
      </c>
      <c r="AP11" s="21">
        <f>(AI11-Model!$B$8)*Model!$B$38</f>
        <v>1.5850666666666662</v>
      </c>
      <c r="AQ11" s="21">
        <f t="shared" si="1"/>
        <v>2.2200666666666753</v>
      </c>
    </row>
    <row r="12" spans="1:43">
      <c r="A12" s="5" t="s">
        <v>66</v>
      </c>
      <c r="B12" s="5" t="s">
        <v>67</v>
      </c>
      <c r="C12" s="39">
        <v>3</v>
      </c>
      <c r="D12" s="8">
        <v>0.12</v>
      </c>
      <c r="E12" s="39">
        <v>-2</v>
      </c>
      <c r="F12" s="39">
        <v>-3</v>
      </c>
      <c r="G12" s="8">
        <v>0.25</v>
      </c>
      <c r="H12" s="10"/>
      <c r="I12" s="39">
        <v>-1200</v>
      </c>
      <c r="J12" s="8">
        <v>-0.02</v>
      </c>
      <c r="K12" s="42">
        <v>2000</v>
      </c>
      <c r="L12" s="43">
        <v>-6.6000000000000003E-2</v>
      </c>
      <c r="M12" s="43">
        <v>65</v>
      </c>
      <c r="N12" s="43">
        <v>65</v>
      </c>
      <c r="O12" s="43">
        <v>1</v>
      </c>
      <c r="P12" s="3">
        <v>0.3</v>
      </c>
      <c r="Q12" s="3">
        <v>0.5</v>
      </c>
      <c r="R12" s="3">
        <v>2.5</v>
      </c>
      <c r="S12" s="14">
        <f>MAX(MIN($L12*Model!$A$13+$M12,$N12)*$O12,0)</f>
        <v>63.35</v>
      </c>
      <c r="T12" s="14">
        <f>MAX(MIN($L12*Model!$A$14+$M12,$N12)*$O12,0)</f>
        <v>60.05</v>
      </c>
      <c r="U12" s="14">
        <f>MAX(MIN($L12*Model!$A$15+$M12,$N12)*$O12,0)</f>
        <v>55.1</v>
      </c>
      <c r="V12" s="14">
        <f>MAX(MIN($L12*Model!$A$16+$M12,$N12)*$O12,0)</f>
        <v>48.5</v>
      </c>
      <c r="W12" s="14">
        <f>MAX(MIN($L12*Model!$A$17+$M12,$N12)*$O12,0)</f>
        <v>40.25</v>
      </c>
      <c r="X12" s="14">
        <f>MAX(MIN($L12*Model!$A$18+$M12,$N12)*$O12,0)</f>
        <v>38.599999999999994</v>
      </c>
      <c r="Y12" s="14">
        <f>MAX(MIN($L12*Model!$A$19+$M12,$N12)*$O12,0)</f>
        <v>32</v>
      </c>
      <c r="Z12" s="14">
        <f>S12*Model!$B$13+T12*Model!$B$14+U12*Model!$B$15+V12*Model!$B$16+W12*Model!$B$17+X12*Model!$B$18+Y12*Model!$B$19</f>
        <v>53.45</v>
      </c>
      <c r="AA12" s="12">
        <v>0.75</v>
      </c>
      <c r="AB12" s="12">
        <v>0.25</v>
      </c>
      <c r="AC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stat(bullet_velocity;0;0.8;500;2000)</v>
      </c>
      <c r="AD12" s="12">
        <v>0</v>
      </c>
      <c r="AE12" s="12">
        <v>0.8</v>
      </c>
      <c r="AF12" s="17">
        <v>500</v>
      </c>
      <c r="AG12" s="17">
        <v>2000</v>
      </c>
      <c r="AH12" s="18">
        <f>Model!$B$4+IF(I12="",0,I12)</f>
        <v>1143</v>
      </c>
      <c r="AI12" s="14">
        <f t="shared" si="0"/>
        <v>0.34293333333333331</v>
      </c>
      <c r="AJ12" s="20">
        <v>23</v>
      </c>
      <c r="AK12" s="6" t="s">
        <v>49</v>
      </c>
      <c r="AL12" s="22">
        <f>C12*Model!$B$24+D12*Model!$B$25+E12*Model!$B$26+F12*Model!$B$27+G12*Model!$B$28+H12*Model!$B$29+I12*Model!$B$30+J12*Model!$B$31+K12*Model!$B$32</f>
        <v>-4.7</v>
      </c>
      <c r="AM12" s="22">
        <f>(Z12-Model!$B$5)*Model!$B$35</f>
        <v>5.1750000000000043</v>
      </c>
      <c r="AN12" s="22">
        <f>(Model!$B$6-AA12)*Model!$B$36</f>
        <v>-0.8</v>
      </c>
      <c r="AO12" s="22">
        <f>(AB12-Model!$B$7)*Model!$B$37</f>
        <v>-1.7999999999999998</v>
      </c>
      <c r="AP12" s="22">
        <f>(AI12-Model!$B$8)*Model!$B$38</f>
        <v>-2.6282666666666668</v>
      </c>
      <c r="AQ12" s="22">
        <f t="shared" si="1"/>
        <v>-4.7532666666666623</v>
      </c>
    </row>
  </sheetData>
  <mergeCells count="7">
    <mergeCell ref="AJ1:AK1"/>
    <mergeCell ref="AL1:AQ1"/>
    <mergeCell ref="A1:K1"/>
    <mergeCell ref="L1:O1"/>
    <mergeCell ref="S1:Z1"/>
    <mergeCell ref="AA1:AG1"/>
    <mergeCell ref="AH1:AI1"/>
  </mergeCells>
  <phoneticPr fontId="6" type="noConversion"/>
  <conditionalFormatting sqref="AQ3:AQ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showGridLines="0" zoomScale="130" zoomScaleNormal="130" workbookViewId="0">
      <selection activeCell="B36" sqref="B36"/>
    </sheetView>
  </sheetViews>
  <sheetFormatPr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1" t="s">
        <v>68</v>
      </c>
      <c r="B1" s="51"/>
      <c r="C1" s="51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2" t="s">
        <v>81</v>
      </c>
      <c r="B10" s="52"/>
      <c r="C10" s="52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2" t="s">
        <v>92</v>
      </c>
      <c r="B22" s="52"/>
      <c r="C22" s="52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17</v>
      </c>
      <c r="B32" s="32">
        <v>0</v>
      </c>
      <c r="C32" s="30" t="s">
        <v>96</v>
      </c>
    </row>
    <row r="33" spans="1:3" ht="15">
      <c r="A33" s="27"/>
      <c r="B33" s="33"/>
      <c r="C33" s="27"/>
    </row>
    <row r="34" spans="1:3" ht="15">
      <c r="A34" s="52" t="s">
        <v>97</v>
      </c>
      <c r="B34" s="53"/>
      <c r="C34" s="52"/>
    </row>
    <row r="35" spans="1:3" ht="15">
      <c r="A35" s="34" t="s">
        <v>29</v>
      </c>
      <c r="B35" s="35">
        <v>1.5</v>
      </c>
      <c r="C35" s="34" t="s">
        <v>98</v>
      </c>
    </row>
    <row r="36" spans="1:3" ht="15">
      <c r="A36" s="34" t="s">
        <v>30</v>
      </c>
      <c r="B36" s="35">
        <v>2</v>
      </c>
      <c r="C36" s="34" t="s">
        <v>99</v>
      </c>
    </row>
    <row r="37" spans="1:3" ht="15">
      <c r="A37" s="34" t="s">
        <v>31</v>
      </c>
      <c r="B37" s="35">
        <v>3</v>
      </c>
      <c r="C37" s="34" t="s">
        <v>100</v>
      </c>
    </row>
    <row r="38" spans="1:3" ht="15">
      <c r="A38" s="36" t="s">
        <v>38</v>
      </c>
      <c r="B38" s="37">
        <v>4</v>
      </c>
      <c r="C38" s="36" t="s">
        <v>100</v>
      </c>
    </row>
  </sheetData>
  <mergeCells count="4">
    <mergeCell ref="A1:C1"/>
    <mergeCell ref="A10:C10"/>
    <mergeCell ref="A22:C22"/>
    <mergeCell ref="A34:C3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2026-07-17T05:51:06Z</dcterms:modified>
</cp:coreProperties>
</file>