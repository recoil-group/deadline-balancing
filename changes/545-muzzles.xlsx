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fan\Documents\deadline-dev\deadline-balancing\changes\"/>
    </mc:Choice>
  </mc:AlternateContent>
  <xr:revisionPtr revIDLastSave="0" documentId="13_ncr:1_{FB378CB6-38C0-41CE-ACC6-66897068885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556-muzz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5" i="1" l="1"/>
  <c r="O35" i="1"/>
  <c r="R34" i="1"/>
  <c r="O34" i="1"/>
  <c r="R33" i="1"/>
  <c r="O33" i="1"/>
  <c r="R32" i="1"/>
  <c r="O32" i="1"/>
  <c r="R31" i="1"/>
  <c r="O31" i="1"/>
  <c r="R30" i="1"/>
  <c r="O30" i="1"/>
  <c r="V29" i="1"/>
  <c r="T29" i="1"/>
  <c r="R29" i="1"/>
  <c r="O29" i="1"/>
  <c r="V28" i="1"/>
  <c r="T28" i="1"/>
  <c r="R28" i="1"/>
  <c r="O28" i="1"/>
  <c r="V27" i="1"/>
  <c r="T27" i="1"/>
  <c r="R27" i="1"/>
  <c r="O27" i="1"/>
  <c r="V26" i="1"/>
  <c r="T26" i="1"/>
  <c r="R26" i="1"/>
  <c r="O26" i="1"/>
  <c r="V25" i="1"/>
  <c r="T25" i="1"/>
  <c r="R25" i="1"/>
  <c r="O25" i="1"/>
  <c r="V24" i="1"/>
  <c r="T24" i="1"/>
  <c r="R24" i="1"/>
  <c r="O24" i="1"/>
  <c r="V23" i="1"/>
  <c r="T23" i="1"/>
  <c r="R23" i="1"/>
  <c r="O23" i="1"/>
  <c r="R22" i="1"/>
  <c r="O22" i="1"/>
  <c r="R21" i="1"/>
  <c r="O21" i="1"/>
  <c r="R20" i="1"/>
  <c r="O20" i="1"/>
  <c r="R19" i="1"/>
  <c r="O19" i="1"/>
  <c r="R18" i="1"/>
  <c r="O18" i="1"/>
  <c r="R17" i="1"/>
  <c r="O17" i="1"/>
  <c r="R16" i="1"/>
  <c r="O16" i="1"/>
  <c r="R15" i="1"/>
  <c r="O15" i="1"/>
  <c r="R14" i="1"/>
  <c r="O14" i="1"/>
  <c r="R13" i="1"/>
  <c r="O13" i="1"/>
  <c r="R12" i="1"/>
  <c r="O12" i="1"/>
  <c r="R11" i="1"/>
  <c r="O11" i="1"/>
  <c r="R10" i="1"/>
  <c r="O10" i="1"/>
  <c r="R9" i="1"/>
  <c r="O9" i="1"/>
  <c r="R8" i="1"/>
  <c r="O8" i="1"/>
  <c r="R7" i="1"/>
  <c r="O7" i="1"/>
  <c r="R6" i="1"/>
  <c r="O6" i="1"/>
  <c r="R5" i="1"/>
  <c r="O5" i="1"/>
  <c r="R4" i="1"/>
  <c r="O4" i="1"/>
  <c r="R3" i="1"/>
  <c r="O3" i="1"/>
</calcChain>
</file>

<file path=xl/sharedStrings.xml><?xml version="1.0" encoding="utf-8"?>
<sst xmlns="http://schemas.openxmlformats.org/spreadsheetml/2006/main" count="80" uniqueCount="78">
  <si>
    <t>NEW</t>
  </si>
  <si>
    <t>name</t>
  </si>
  <si>
    <t>pretty_name</t>
  </si>
  <si>
    <t>ergonomics</t>
  </si>
  <si>
    <t>weight</t>
  </si>
  <si>
    <t>horizontal_recoil</t>
  </si>
  <si>
    <t>vertical_recoil</t>
  </si>
  <si>
    <t>magazine_capacity</t>
  </si>
  <si>
    <t>barrel_deviation</t>
  </si>
  <si>
    <t>bullet_damage</t>
  </si>
  <si>
    <t>bullet_velocity</t>
  </si>
  <si>
    <t>buck_barrel_deviation</t>
  </si>
  <si>
    <t>fire_rate</t>
  </si>
  <si>
    <t>price</t>
  </si>
  <si>
    <t>muzzle_loudness</t>
  </si>
  <si>
    <t>score</t>
  </si>
  <si>
    <t>irl weight (oz)</t>
  </si>
  <si>
    <t>converted weight</t>
  </si>
  <si>
    <t>izhmash_ak74_6p20_020_compensator</t>
  </si>
  <si>
    <t>Izhmash AK-74 6P20 0-20 Compensator</t>
  </si>
  <si>
    <t>unsure</t>
  </si>
  <si>
    <t>izhmash_ak74m_6p20_020_compensator</t>
  </si>
  <si>
    <t>Izhmash AK-74M 6P20 0-20 Compensator</t>
  </si>
  <si>
    <t>izhmash_ak105_6p44_020_compensator</t>
  </si>
  <si>
    <t>Izhmash AK-105 6P44 0-20 Compensator</t>
  </si>
  <si>
    <t>izhmash_aks74u_5.45x39_6p26_020_muzzle_brake</t>
  </si>
  <si>
    <t>Izhmash AKS74U 6P26 0-20 Muzzle Booster</t>
  </si>
  <si>
    <t>ak12_std_muzzle_device</t>
  </si>
  <si>
    <t>Kazarov Group AK-12 Std.</t>
  </si>
  <si>
    <t>kalashnikov_concern_ak12k_5.45x39_flash_hider</t>
  </si>
  <si>
    <t>Kalashnikov Concern AK12K Flash Hider</t>
  </si>
  <si>
    <t>v762_vrdtl_fh</t>
  </si>
  <si>
    <t>Vector VR-DTL</t>
  </si>
  <si>
    <t>steel version (not titanium)</t>
  </si>
  <si>
    <t>dt_dtm_fh</t>
  </si>
  <si>
    <t>Delta-Tek DPM</t>
  </si>
  <si>
    <t>dt_dpmn_fh</t>
  </si>
  <si>
    <t>Delta-Tek DPMN</t>
  </si>
  <si>
    <t>v762_vr04_mb</t>
  </si>
  <si>
    <t>Vector VR-04</t>
  </si>
  <si>
    <t>vs_05</t>
  </si>
  <si>
    <t>VS-05</t>
  </si>
  <si>
    <t>v762_vr05_mb</t>
  </si>
  <si>
    <t>Vector VR-05</t>
  </si>
  <si>
    <t>v762_vr05t_mb</t>
  </si>
  <si>
    <t>Vector VR-05T</t>
  </si>
  <si>
    <t>v762_vr10m_mb</t>
  </si>
  <si>
    <t>Vector VR-10M</t>
  </si>
  <si>
    <t>dt_dtkai_mb</t>
  </si>
  <si>
    <t>Delta-Tek DTK AK IPSC</t>
  </si>
  <si>
    <t>zenitco_dtk_1_muzzle_brake</t>
  </si>
  <si>
    <t>Zenitco Dtk-1</t>
  </si>
  <si>
    <t>dtk_2</t>
  </si>
  <si>
    <t>Veles Dtk-2</t>
  </si>
  <si>
    <t>tarkov</t>
  </si>
  <si>
    <t>tarkov converted</t>
  </si>
  <si>
    <t>other source</t>
  </si>
  <si>
    <t>tsniitochmash_pbs_4_5.45x39_suppressor</t>
  </si>
  <si>
    <t>TochMash PBS-4 5.45x39</t>
  </si>
  <si>
    <t>hexagon545</t>
  </si>
  <si>
    <t>Hexagon 5.45</t>
  </si>
  <si>
    <t>hexagon_dtkp_ak74_5.45x39_suppressor</t>
  </si>
  <si>
    <t>Hex Tactical DTKP AK74 5.45x39</t>
  </si>
  <si>
    <t>hexagon_dtkp_ak12_5.45x39_suppressor</t>
  </si>
  <si>
    <t>Hex Tactical DTKP AK12 5.45x39</t>
  </si>
  <si>
    <t>hexagon_dtkp_ak74_shortened_5.45x39_suppressor</t>
  </si>
  <si>
    <t>Hex Tactical DTKP AK74 Shortened 5.45x39</t>
  </si>
  <si>
    <t>hexagon_dtkp_ak12_shortened_5.45x39_suppressor</t>
  </si>
  <si>
    <t>Hex Tactical DTKP AK12 Shortened 5.45x39</t>
  </si>
  <si>
    <t>kalashnikov_concern_6ch60_ak12_suppressor</t>
  </si>
  <si>
    <t>Kalashnikov Concern 6Ch60 AK-12</t>
  </si>
  <si>
    <t>legal_arsenal_bayonet_thread_adapter_for_ak12</t>
  </si>
  <si>
    <t>Legal Arsenal Bayonet Thread Adapter for AK-12</t>
  </si>
  <si>
    <t>ga_24_1/2</t>
  </si>
  <si>
    <t>Griffin Armaments 24-1/2</t>
  </si>
  <si>
    <t>i_24_14_ta</t>
  </si>
  <si>
    <t>Infinite 24mm-1/2mm</t>
  </si>
  <si>
    <t>Surefire SOCOM556 SFMB Muzzle 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</si>
</sst>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"/>
  <sheetViews>
    <sheetView tabSelected="1" workbookViewId="0">
      <selection activeCell="N7" sqref="N7"/>
    </sheetView>
  </sheetViews>
  <sheetFormatPr defaultRowHeight="15" x14ac:dyDescent="0.25"/>
  <cols>
    <col min="1" max="1" width="46.42578125" customWidth="1"/>
    <col min="2" max="2" width="44.42578125" customWidth="1"/>
    <col min="3" max="18" width="6.7109375" customWidth="1"/>
  </cols>
  <sheetData>
    <row r="1" spans="1:19" x14ac:dyDescent="0.25">
      <c r="C1" t="s">
        <v>0</v>
      </c>
    </row>
    <row r="2" spans="1:1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Q2" t="s">
        <v>16</v>
      </c>
      <c r="R2" t="s">
        <v>17</v>
      </c>
    </row>
    <row r="3" spans="1:19" x14ac:dyDescent="0.25">
      <c r="A3" s="2" t="s">
        <v>18</v>
      </c>
      <c r="B3" s="2" t="s">
        <v>19</v>
      </c>
      <c r="C3" s="2">
        <v>0</v>
      </c>
      <c r="D3" s="2">
        <v>0.08</v>
      </c>
      <c r="E3" s="2">
        <v>-11</v>
      </c>
      <c r="F3" s="2">
        <v>-15</v>
      </c>
      <c r="G3" s="2"/>
      <c r="H3" s="2">
        <v>0</v>
      </c>
      <c r="I3" s="2">
        <v>0</v>
      </c>
      <c r="J3" s="2">
        <v>10</v>
      </c>
      <c r="K3" s="2"/>
      <c r="L3" s="2"/>
      <c r="M3" s="2">
        <v>500</v>
      </c>
      <c r="N3" s="2">
        <v>0</v>
      </c>
      <c r="O3">
        <f t="shared" ref="O3:O35" si="0">C3-D3*20-E3*0.8-F3*0.6-H3*10+I3*20+J3/200+L3*5-N3*5</f>
        <v>16.250000000000004</v>
      </c>
      <c r="Q3">
        <v>3.5</v>
      </c>
      <c r="R3">
        <f t="shared" ref="R3:R35" si="1">Q3*0.015+0.03</f>
        <v>8.249999999999999E-2</v>
      </c>
      <c r="S3" t="s">
        <v>20</v>
      </c>
    </row>
    <row r="4" spans="1:19" x14ac:dyDescent="0.25">
      <c r="A4" s="2" t="s">
        <v>21</v>
      </c>
      <c r="B4" s="2" t="s">
        <v>22</v>
      </c>
      <c r="C4" s="2">
        <v>0</v>
      </c>
      <c r="D4" s="2">
        <v>0.08</v>
      </c>
      <c r="E4" s="2">
        <v>-11</v>
      </c>
      <c r="F4" s="2">
        <v>-15</v>
      </c>
      <c r="G4" s="2"/>
      <c r="H4" s="2">
        <v>0</v>
      </c>
      <c r="I4" s="2">
        <v>0</v>
      </c>
      <c r="J4" s="2">
        <v>10</v>
      </c>
      <c r="K4" s="2"/>
      <c r="L4" s="2"/>
      <c r="M4" s="2">
        <v>250</v>
      </c>
      <c r="N4" s="2">
        <v>0</v>
      </c>
      <c r="O4">
        <f t="shared" si="0"/>
        <v>16.250000000000004</v>
      </c>
      <c r="R4">
        <f t="shared" si="1"/>
        <v>0.03</v>
      </c>
    </row>
    <row r="5" spans="1:19" x14ac:dyDescent="0.25">
      <c r="A5" s="2" t="s">
        <v>23</v>
      </c>
      <c r="B5" s="2" t="s">
        <v>24</v>
      </c>
      <c r="C5" s="2">
        <v>0</v>
      </c>
      <c r="D5" s="2">
        <v>0.06</v>
      </c>
      <c r="E5" s="2">
        <v>-11</v>
      </c>
      <c r="F5" s="2">
        <v>-14</v>
      </c>
      <c r="G5" s="2"/>
      <c r="H5" s="2">
        <v>0</v>
      </c>
      <c r="I5" s="2">
        <v>0</v>
      </c>
      <c r="J5" s="2">
        <v>0</v>
      </c>
      <c r="K5" s="2"/>
      <c r="L5" s="2">
        <v>0.05</v>
      </c>
      <c r="M5" s="2">
        <v>700</v>
      </c>
      <c r="N5" s="2">
        <v>0.02</v>
      </c>
      <c r="O5">
        <f t="shared" si="0"/>
        <v>16.149999999999999</v>
      </c>
      <c r="R5">
        <f t="shared" si="1"/>
        <v>0.03</v>
      </c>
    </row>
    <row r="6" spans="1:19" x14ac:dyDescent="0.25">
      <c r="A6" s="2" t="s">
        <v>25</v>
      </c>
      <c r="B6" s="2" t="s">
        <v>26</v>
      </c>
      <c r="C6" s="2">
        <v>0</v>
      </c>
      <c r="D6" s="2">
        <v>7.0000000000000007E-2</v>
      </c>
      <c r="E6" s="2">
        <v>-11</v>
      </c>
      <c r="F6" s="2">
        <v>-14</v>
      </c>
      <c r="G6" s="2"/>
      <c r="H6" s="2">
        <v>0</v>
      </c>
      <c r="I6" s="2">
        <v>0</v>
      </c>
      <c r="J6" s="2">
        <v>10</v>
      </c>
      <c r="K6" s="2"/>
      <c r="L6" s="2">
        <v>0.123</v>
      </c>
      <c r="M6" s="2">
        <v>400</v>
      </c>
      <c r="N6" s="2">
        <v>0.04</v>
      </c>
      <c r="O6">
        <f t="shared" si="0"/>
        <v>16.265000000000001</v>
      </c>
      <c r="Q6">
        <v>3.4</v>
      </c>
      <c r="R6">
        <f t="shared" si="1"/>
        <v>8.0999999999999989E-2</v>
      </c>
      <c r="S6" t="s">
        <v>20</v>
      </c>
    </row>
    <row r="7" spans="1:19" x14ac:dyDescent="0.25">
      <c r="A7" t="s">
        <v>27</v>
      </c>
      <c r="B7" t="s">
        <v>28</v>
      </c>
      <c r="C7">
        <v>0</v>
      </c>
      <c r="D7">
        <v>0.09</v>
      </c>
      <c r="E7" s="2">
        <v>-12</v>
      </c>
      <c r="F7" s="2">
        <v>-14</v>
      </c>
      <c r="H7" s="2">
        <v>0</v>
      </c>
      <c r="I7" s="2">
        <v>0</v>
      </c>
      <c r="J7">
        <v>10</v>
      </c>
      <c r="M7">
        <v>0</v>
      </c>
      <c r="N7" s="2">
        <v>0</v>
      </c>
      <c r="O7">
        <f t="shared" si="0"/>
        <v>16.250000000000004</v>
      </c>
      <c r="R7">
        <f t="shared" si="1"/>
        <v>0.03</v>
      </c>
    </row>
    <row r="8" spans="1:19" x14ac:dyDescent="0.25">
      <c r="A8" t="s">
        <v>29</v>
      </c>
      <c r="B8" t="s">
        <v>30</v>
      </c>
      <c r="C8">
        <v>2</v>
      </c>
      <c r="D8">
        <v>0.06</v>
      </c>
      <c r="E8">
        <v>-10</v>
      </c>
      <c r="F8">
        <v>-12</v>
      </c>
      <c r="H8">
        <v>0</v>
      </c>
      <c r="I8">
        <v>0</v>
      </c>
      <c r="J8">
        <v>0</v>
      </c>
      <c r="M8">
        <v>500</v>
      </c>
      <c r="O8">
        <f t="shared" si="0"/>
        <v>16</v>
      </c>
      <c r="R8">
        <f t="shared" si="1"/>
        <v>0.03</v>
      </c>
    </row>
    <row r="9" spans="1:19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>
        <f t="shared" si="0"/>
        <v>0</v>
      </c>
      <c r="R9">
        <f t="shared" si="1"/>
        <v>0.03</v>
      </c>
    </row>
    <row r="10" spans="1:19" x14ac:dyDescent="0.25">
      <c r="A10" s="2" t="s">
        <v>31</v>
      </c>
      <c r="B10" s="2" t="s">
        <v>32</v>
      </c>
      <c r="C10" s="2">
        <v>3</v>
      </c>
      <c r="D10" s="2">
        <v>0.15</v>
      </c>
      <c r="E10" s="2">
        <v>-10</v>
      </c>
      <c r="F10" s="2">
        <v>-14</v>
      </c>
      <c r="G10" s="2"/>
      <c r="H10" s="2">
        <v>0</v>
      </c>
      <c r="I10" s="2">
        <v>0</v>
      </c>
      <c r="J10" s="2">
        <v>0</v>
      </c>
      <c r="K10" s="2"/>
      <c r="L10" s="2"/>
      <c r="M10" s="2">
        <v>750</v>
      </c>
      <c r="N10" s="2">
        <v>0</v>
      </c>
      <c r="O10">
        <f t="shared" si="0"/>
        <v>16.399999999999999</v>
      </c>
      <c r="Q10">
        <v>7.6897200000000003</v>
      </c>
      <c r="R10">
        <f t="shared" si="1"/>
        <v>0.1453458</v>
      </c>
      <c r="S10" t="s">
        <v>33</v>
      </c>
    </row>
    <row r="11" spans="1:19" x14ac:dyDescent="0.25">
      <c r="A11" s="2" t="s">
        <v>34</v>
      </c>
      <c r="B11" s="2" t="s">
        <v>35</v>
      </c>
      <c r="C11" s="2">
        <v>1</v>
      </c>
      <c r="D11" s="2">
        <v>0.12</v>
      </c>
      <c r="E11" s="2">
        <v>-13</v>
      </c>
      <c r="F11" s="2">
        <v>-13</v>
      </c>
      <c r="G11" s="2"/>
      <c r="H11" s="2">
        <v>0</v>
      </c>
      <c r="I11" s="2">
        <v>0</v>
      </c>
      <c r="J11" s="2">
        <v>10</v>
      </c>
      <c r="K11" s="2"/>
      <c r="L11" s="2"/>
      <c r="M11" s="2">
        <v>750</v>
      </c>
      <c r="N11" s="2">
        <v>0</v>
      </c>
      <c r="O11">
        <f t="shared" si="0"/>
        <v>16.850000000000001</v>
      </c>
      <c r="Q11">
        <v>6.34931</v>
      </c>
      <c r="R11">
        <f t="shared" si="1"/>
        <v>0.12523964999999998</v>
      </c>
    </row>
    <row r="12" spans="1:19" x14ac:dyDescent="0.25">
      <c r="A12" s="2" t="s">
        <v>36</v>
      </c>
      <c r="B12" s="2" t="s">
        <v>37</v>
      </c>
      <c r="C12" s="2">
        <v>2</v>
      </c>
      <c r="D12" s="2">
        <v>0.12</v>
      </c>
      <c r="E12" s="2">
        <v>-13</v>
      </c>
      <c r="F12" s="2">
        <v>-11</v>
      </c>
      <c r="G12" s="2"/>
      <c r="H12" s="2">
        <v>0</v>
      </c>
      <c r="I12" s="2">
        <v>0</v>
      </c>
      <c r="J12" s="2">
        <v>10</v>
      </c>
      <c r="K12" s="2"/>
      <c r="L12" s="2"/>
      <c r="M12" s="2">
        <v>750</v>
      </c>
      <c r="N12" s="2">
        <v>0</v>
      </c>
      <c r="O12">
        <f t="shared" si="0"/>
        <v>16.650000000000002</v>
      </c>
      <c r="Q12">
        <v>6.34931</v>
      </c>
      <c r="R12">
        <f t="shared" si="1"/>
        <v>0.12523964999999998</v>
      </c>
    </row>
    <row r="13" spans="1:19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>
        <f t="shared" si="0"/>
        <v>0</v>
      </c>
      <c r="R13">
        <f t="shared" si="1"/>
        <v>0.03</v>
      </c>
    </row>
    <row r="14" spans="1:19" x14ac:dyDescent="0.25">
      <c r="A14" s="2" t="s">
        <v>38</v>
      </c>
      <c r="B14" s="2" t="s">
        <v>39</v>
      </c>
      <c r="C14" s="2">
        <v>-1.5</v>
      </c>
      <c r="D14" s="2">
        <v>0.11</v>
      </c>
      <c r="E14" s="2">
        <v>-15</v>
      </c>
      <c r="F14" s="2">
        <v>-15</v>
      </c>
      <c r="G14" s="2"/>
      <c r="H14" s="2">
        <v>0</v>
      </c>
      <c r="I14" s="2">
        <v>0</v>
      </c>
      <c r="J14" s="2">
        <v>10</v>
      </c>
      <c r="K14" s="2"/>
      <c r="L14" s="2"/>
      <c r="M14" s="2">
        <v>750</v>
      </c>
      <c r="N14" s="2">
        <v>0.06</v>
      </c>
      <c r="O14">
        <f t="shared" si="0"/>
        <v>17.05</v>
      </c>
      <c r="Q14">
        <v>4.5856199999999996</v>
      </c>
      <c r="R14">
        <f t="shared" si="1"/>
        <v>9.8784299999999992E-2</v>
      </c>
    </row>
    <row r="15" spans="1:19" x14ac:dyDescent="0.25">
      <c r="A15" s="2" t="s">
        <v>40</v>
      </c>
      <c r="B15" s="2" t="s">
        <v>41</v>
      </c>
      <c r="C15" s="2">
        <v>-0.5</v>
      </c>
      <c r="D15" s="2">
        <v>0.1</v>
      </c>
      <c r="E15" s="2">
        <v>-14</v>
      </c>
      <c r="F15" s="2">
        <v>-14</v>
      </c>
      <c r="G15" s="2"/>
      <c r="H15" s="2">
        <v>0</v>
      </c>
      <c r="I15" s="2">
        <v>0</v>
      </c>
      <c r="J15" s="2">
        <v>10</v>
      </c>
      <c r="K15" s="2"/>
      <c r="L15" s="2"/>
      <c r="M15" s="2">
        <v>750</v>
      </c>
      <c r="N15" s="2">
        <v>3.9999999999999994E-2</v>
      </c>
      <c r="O15">
        <f t="shared" si="0"/>
        <v>16.950000000000003</v>
      </c>
      <c r="Q15">
        <v>5.6085599999999998</v>
      </c>
      <c r="R15">
        <f t="shared" si="1"/>
        <v>0.11412839999999999</v>
      </c>
      <c r="S15" t="s">
        <v>20</v>
      </c>
    </row>
    <row r="16" spans="1:19" x14ac:dyDescent="0.25">
      <c r="A16" s="2" t="s">
        <v>42</v>
      </c>
      <c r="B16" s="2" t="s">
        <v>43</v>
      </c>
      <c r="C16" s="2">
        <v>-1</v>
      </c>
      <c r="D16" s="2">
        <v>0.1</v>
      </c>
      <c r="E16" s="2">
        <v>-15</v>
      </c>
      <c r="F16" s="2">
        <v>-14</v>
      </c>
      <c r="G16" s="2"/>
      <c r="H16" s="2">
        <v>0</v>
      </c>
      <c r="I16" s="2">
        <v>0</v>
      </c>
      <c r="J16" s="2">
        <v>10</v>
      </c>
      <c r="K16" s="2"/>
      <c r="L16" s="2"/>
      <c r="M16" s="2">
        <v>750</v>
      </c>
      <c r="N16" s="2">
        <v>3.9999999999999994E-2</v>
      </c>
      <c r="O16">
        <f t="shared" si="0"/>
        <v>17.25</v>
      </c>
      <c r="Q16">
        <v>4.5856199999999996</v>
      </c>
      <c r="R16">
        <f t="shared" si="1"/>
        <v>9.8784299999999992E-2</v>
      </c>
    </row>
    <row r="17" spans="1:22" x14ac:dyDescent="0.25">
      <c r="A17" s="2" t="s">
        <v>44</v>
      </c>
      <c r="B17" s="2" t="s">
        <v>45</v>
      </c>
      <c r="C17" s="2">
        <v>-1</v>
      </c>
      <c r="D17" s="2">
        <v>0.09</v>
      </c>
      <c r="E17" s="2">
        <v>-15</v>
      </c>
      <c r="F17" s="2">
        <v>-14</v>
      </c>
      <c r="G17" s="2"/>
      <c r="H17" s="2">
        <v>0</v>
      </c>
      <c r="I17" s="2">
        <v>0</v>
      </c>
      <c r="J17" s="2">
        <v>10</v>
      </c>
      <c r="K17" s="2"/>
      <c r="L17" s="2"/>
      <c r="M17" s="2">
        <v>750</v>
      </c>
      <c r="N17" s="2">
        <v>3.9999999999999994E-2</v>
      </c>
      <c r="O17">
        <f t="shared" si="0"/>
        <v>17.450000000000003</v>
      </c>
      <c r="Q17">
        <v>4.0565100000000003</v>
      </c>
      <c r="R17">
        <f t="shared" si="1"/>
        <v>9.0847650000000002E-2</v>
      </c>
    </row>
    <row r="18" spans="1:22" x14ac:dyDescent="0.25">
      <c r="A18" s="2" t="s">
        <v>46</v>
      </c>
      <c r="B18" s="2" t="s">
        <v>47</v>
      </c>
      <c r="C18" s="2">
        <v>-0.5</v>
      </c>
      <c r="D18" s="2">
        <v>0.12</v>
      </c>
      <c r="E18" s="2">
        <v>-12</v>
      </c>
      <c r="F18" s="2">
        <v>-16</v>
      </c>
      <c r="G18" s="2"/>
      <c r="H18" s="2">
        <v>0</v>
      </c>
      <c r="I18" s="2">
        <v>0</v>
      </c>
      <c r="J18" s="2">
        <v>10</v>
      </c>
      <c r="K18" s="2"/>
      <c r="L18" s="2"/>
      <c r="M18" s="2">
        <v>750</v>
      </c>
      <c r="N18" s="2">
        <v>3.0000000000000002E-2</v>
      </c>
      <c r="O18">
        <f t="shared" si="0"/>
        <v>16.200000000000003</v>
      </c>
      <c r="Q18">
        <v>5.64</v>
      </c>
      <c r="R18">
        <f t="shared" si="1"/>
        <v>0.11459999999999999</v>
      </c>
    </row>
    <row r="19" spans="1:22" x14ac:dyDescent="0.25">
      <c r="A19" s="2" t="s">
        <v>48</v>
      </c>
      <c r="B19" s="2" t="s">
        <v>49</v>
      </c>
      <c r="C19" s="2">
        <v>-1.5</v>
      </c>
      <c r="D19" s="2">
        <v>0.1</v>
      </c>
      <c r="E19" s="2">
        <v>-18</v>
      </c>
      <c r="F19" s="2">
        <v>-11</v>
      </c>
      <c r="G19" s="2"/>
      <c r="H19" s="2">
        <v>0</v>
      </c>
      <c r="I19" s="2">
        <v>0</v>
      </c>
      <c r="J19" s="2">
        <v>10</v>
      </c>
      <c r="K19" s="2"/>
      <c r="L19" s="2"/>
      <c r="M19" s="2">
        <v>750</v>
      </c>
      <c r="N19" s="2">
        <v>0.05</v>
      </c>
      <c r="O19">
        <f t="shared" si="0"/>
        <v>17.3</v>
      </c>
      <c r="Q19">
        <v>4.4092500000000001</v>
      </c>
      <c r="R19">
        <f t="shared" si="1"/>
        <v>9.6138749999999995E-2</v>
      </c>
    </row>
    <row r="20" spans="1:22" x14ac:dyDescent="0.25">
      <c r="A20" s="2" t="s">
        <v>50</v>
      </c>
      <c r="B20" s="2" t="s">
        <v>51</v>
      </c>
      <c r="C20" s="2">
        <v>-2</v>
      </c>
      <c r="D20" s="2">
        <v>0.1</v>
      </c>
      <c r="E20" s="2">
        <v>-17</v>
      </c>
      <c r="F20" s="2">
        <v>-14</v>
      </c>
      <c r="G20" s="2"/>
      <c r="H20" s="2">
        <v>0</v>
      </c>
      <c r="I20" s="2">
        <v>0</v>
      </c>
      <c r="J20" s="2">
        <v>10</v>
      </c>
      <c r="K20" s="2"/>
      <c r="L20" s="2"/>
      <c r="M20" s="2">
        <v>1000</v>
      </c>
      <c r="N20" s="2">
        <v>0.06</v>
      </c>
      <c r="O20">
        <f t="shared" si="0"/>
        <v>17.75</v>
      </c>
      <c r="Q20">
        <v>4.5150670000000002</v>
      </c>
      <c r="R20">
        <f t="shared" si="1"/>
        <v>9.7726005000000005E-2</v>
      </c>
    </row>
    <row r="21" spans="1:22" x14ac:dyDescent="0.25">
      <c r="A21" s="2" t="s">
        <v>52</v>
      </c>
      <c r="B21" s="2" t="s">
        <v>53</v>
      </c>
      <c r="C21" s="2">
        <v>-2</v>
      </c>
      <c r="D21" s="2">
        <v>0.09</v>
      </c>
      <c r="E21" s="2">
        <v>-16</v>
      </c>
      <c r="F21" s="2">
        <v>-14</v>
      </c>
      <c r="G21" s="2"/>
      <c r="H21" s="2">
        <v>0</v>
      </c>
      <c r="I21" s="2">
        <v>0</v>
      </c>
      <c r="J21" s="2">
        <v>0</v>
      </c>
      <c r="K21" s="2"/>
      <c r="L21" s="2"/>
      <c r="M21" s="2">
        <v>1000</v>
      </c>
      <c r="N21" s="2">
        <v>6.9999999999999993E-2</v>
      </c>
      <c r="O21">
        <f t="shared" si="0"/>
        <v>17.049999999999997</v>
      </c>
      <c r="Q21">
        <v>3.7037659999999999</v>
      </c>
      <c r="R21">
        <f t="shared" si="1"/>
        <v>8.5556489999999985E-2</v>
      </c>
    </row>
    <row r="22" spans="1:2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>
        <f t="shared" si="0"/>
        <v>0</v>
      </c>
      <c r="R22">
        <f t="shared" si="1"/>
        <v>0.03</v>
      </c>
      <c r="S22" t="s">
        <v>54</v>
      </c>
      <c r="T22" t="s">
        <v>55</v>
      </c>
      <c r="U22" t="s">
        <v>56</v>
      </c>
    </row>
    <row r="23" spans="1:22" x14ac:dyDescent="0.25">
      <c r="A23" s="2" t="s">
        <v>57</v>
      </c>
      <c r="B23" s="2" t="s">
        <v>58</v>
      </c>
      <c r="C23" s="2">
        <v>-5</v>
      </c>
      <c r="D23" s="2">
        <v>0.32</v>
      </c>
      <c r="E23" s="2">
        <v>-14</v>
      </c>
      <c r="F23" s="2">
        <v>-18</v>
      </c>
      <c r="G23" s="2"/>
      <c r="H23" s="2">
        <v>-0.12</v>
      </c>
      <c r="I23" s="2">
        <v>0.12</v>
      </c>
      <c r="J23" s="2">
        <v>80</v>
      </c>
      <c r="K23" s="2"/>
      <c r="L23" s="2"/>
      <c r="M23" s="2">
        <v>2000</v>
      </c>
      <c r="N23" s="2">
        <v>-0.18</v>
      </c>
      <c r="O23">
        <f t="shared" si="0"/>
        <v>15.5</v>
      </c>
      <c r="R23">
        <f t="shared" si="1"/>
        <v>0.03</v>
      </c>
      <c r="S23">
        <v>700</v>
      </c>
      <c r="T23">
        <f t="shared" ref="T23:T29" si="2">S23*0.035274*0.015+0.03</f>
        <v>0.40037699999999998</v>
      </c>
      <c r="U23">
        <v>610</v>
      </c>
      <c r="V23">
        <f t="shared" ref="V23:V29" si="3">U23*0.035274*0.015+0.03</f>
        <v>0.35275710000000005</v>
      </c>
    </row>
    <row r="24" spans="1:22" x14ac:dyDescent="0.25">
      <c r="A24" s="2" t="s">
        <v>59</v>
      </c>
      <c r="B24" s="2" t="s">
        <v>60</v>
      </c>
      <c r="C24" s="2">
        <v>-4</v>
      </c>
      <c r="D24" s="2">
        <v>0.3</v>
      </c>
      <c r="E24" s="2">
        <v>-16</v>
      </c>
      <c r="F24" s="2">
        <v>-15</v>
      </c>
      <c r="G24" s="2"/>
      <c r="H24" s="2">
        <v>-0.1</v>
      </c>
      <c r="I24" s="2">
        <v>0.1</v>
      </c>
      <c r="J24" s="2">
        <v>70</v>
      </c>
      <c r="K24" s="2"/>
      <c r="L24" s="2"/>
      <c r="M24" s="2">
        <v>2000</v>
      </c>
      <c r="N24" s="2">
        <v>-0.16</v>
      </c>
      <c r="O24">
        <f t="shared" si="0"/>
        <v>15.950000000000001</v>
      </c>
      <c r="R24">
        <f t="shared" si="1"/>
        <v>0.03</v>
      </c>
      <c r="S24">
        <v>462</v>
      </c>
      <c r="T24">
        <f t="shared" si="2"/>
        <v>0.27444881999999998</v>
      </c>
      <c r="V24">
        <f t="shared" si="3"/>
        <v>0.03</v>
      </c>
    </row>
    <row r="25" spans="1:22" x14ac:dyDescent="0.25">
      <c r="A25" s="2" t="s">
        <v>61</v>
      </c>
      <c r="B25" s="2" t="s">
        <v>62</v>
      </c>
      <c r="C25" s="2">
        <v>-3</v>
      </c>
      <c r="D25" s="2">
        <v>0.27</v>
      </c>
      <c r="E25" s="2">
        <v>-17</v>
      </c>
      <c r="F25" s="2">
        <v>-13</v>
      </c>
      <c r="G25" s="2"/>
      <c r="H25" s="2">
        <v>-0.08</v>
      </c>
      <c r="I25" s="2">
        <v>0.1</v>
      </c>
      <c r="J25" s="2">
        <v>60</v>
      </c>
      <c r="K25" s="2"/>
      <c r="L25" s="2"/>
      <c r="M25" s="2">
        <v>3000</v>
      </c>
      <c r="N25" s="2">
        <v>-0.16</v>
      </c>
      <c r="O25">
        <f t="shared" si="0"/>
        <v>16.900000000000002</v>
      </c>
      <c r="R25">
        <f t="shared" si="1"/>
        <v>0.03</v>
      </c>
      <c r="S25">
        <v>412</v>
      </c>
      <c r="T25">
        <f t="shared" si="2"/>
        <v>0.24799331999999999</v>
      </c>
      <c r="U25">
        <v>513</v>
      </c>
      <c r="V25">
        <f t="shared" si="3"/>
        <v>0.30143343</v>
      </c>
    </row>
    <row r="26" spans="1:22" x14ac:dyDescent="0.25">
      <c r="A26" s="2" t="s">
        <v>63</v>
      </c>
      <c r="B26" s="2" t="s">
        <v>64</v>
      </c>
      <c r="C26" s="2">
        <v>-3</v>
      </c>
      <c r="D26" s="2">
        <v>0.28000000000000003</v>
      </c>
      <c r="E26" s="2">
        <v>-17</v>
      </c>
      <c r="F26" s="2">
        <v>-13</v>
      </c>
      <c r="G26" s="2"/>
      <c r="H26" s="2">
        <v>-0.08</v>
      </c>
      <c r="I26" s="2">
        <v>0.1</v>
      </c>
      <c r="J26" s="2">
        <v>60</v>
      </c>
      <c r="K26" s="2"/>
      <c r="L26" s="2"/>
      <c r="M26" s="2">
        <v>3000</v>
      </c>
      <c r="N26" s="2">
        <v>-0.16</v>
      </c>
      <c r="O26">
        <f t="shared" si="0"/>
        <v>16.700000000000003</v>
      </c>
      <c r="R26">
        <f t="shared" si="1"/>
        <v>0.03</v>
      </c>
      <c r="T26">
        <f t="shared" si="2"/>
        <v>0.03</v>
      </c>
      <c r="V26">
        <f t="shared" si="3"/>
        <v>0.03</v>
      </c>
    </row>
    <row r="27" spans="1:22" x14ac:dyDescent="0.25">
      <c r="A27" s="2" t="s">
        <v>65</v>
      </c>
      <c r="B27" s="2" t="s">
        <v>66</v>
      </c>
      <c r="C27" s="2">
        <v>-2</v>
      </c>
      <c r="D27" s="2">
        <v>0.22</v>
      </c>
      <c r="E27" s="2">
        <v>-16</v>
      </c>
      <c r="F27" s="2">
        <v>-12</v>
      </c>
      <c r="G27" s="2"/>
      <c r="H27" s="2">
        <v>-0.05</v>
      </c>
      <c r="I27" s="2">
        <v>0.06</v>
      </c>
      <c r="J27" s="2">
        <v>40</v>
      </c>
      <c r="K27" s="2"/>
      <c r="L27" s="2"/>
      <c r="M27" s="2">
        <v>3500</v>
      </c>
      <c r="N27" s="2">
        <v>-0.11</v>
      </c>
      <c r="O27">
        <f t="shared" si="0"/>
        <v>16.049999999999997</v>
      </c>
      <c r="R27">
        <f t="shared" si="1"/>
        <v>0.03</v>
      </c>
      <c r="T27">
        <f t="shared" si="2"/>
        <v>0.03</v>
      </c>
      <c r="U27">
        <v>428</v>
      </c>
      <c r="V27">
        <f t="shared" si="3"/>
        <v>0.25645908000000001</v>
      </c>
    </row>
    <row r="28" spans="1:22" x14ac:dyDescent="0.25">
      <c r="A28" s="2" t="s">
        <v>67</v>
      </c>
      <c r="B28" s="2" t="s">
        <v>68</v>
      </c>
      <c r="C28" s="2">
        <v>-2</v>
      </c>
      <c r="D28" s="2">
        <v>0.23</v>
      </c>
      <c r="E28" s="2">
        <v>-16</v>
      </c>
      <c r="F28" s="2">
        <v>-12</v>
      </c>
      <c r="G28" s="2"/>
      <c r="H28" s="2">
        <v>-0.05</v>
      </c>
      <c r="I28" s="2">
        <v>0.06</v>
      </c>
      <c r="J28" s="2">
        <v>40</v>
      </c>
      <c r="K28" s="2"/>
      <c r="L28" s="2"/>
      <c r="M28" s="2">
        <v>3500</v>
      </c>
      <c r="N28" s="2">
        <v>-0.11</v>
      </c>
      <c r="O28">
        <f t="shared" si="0"/>
        <v>15.849999999999998</v>
      </c>
      <c r="R28">
        <f t="shared" si="1"/>
        <v>0.03</v>
      </c>
      <c r="T28">
        <f t="shared" si="2"/>
        <v>0.03</v>
      </c>
      <c r="V28">
        <f t="shared" si="3"/>
        <v>0.03</v>
      </c>
    </row>
    <row r="29" spans="1:22" x14ac:dyDescent="0.25">
      <c r="A29" t="s">
        <v>69</v>
      </c>
      <c r="B29" t="s">
        <v>70</v>
      </c>
      <c r="C29">
        <v>-5</v>
      </c>
      <c r="D29">
        <v>0.3</v>
      </c>
      <c r="E29">
        <v>-15</v>
      </c>
      <c r="F29">
        <v>-17</v>
      </c>
      <c r="H29">
        <v>-0.12</v>
      </c>
      <c r="I29">
        <v>0.12</v>
      </c>
      <c r="J29">
        <v>80</v>
      </c>
      <c r="M29">
        <v>1000</v>
      </c>
      <c r="N29" s="2">
        <v>-0.19</v>
      </c>
      <c r="O29">
        <f t="shared" si="0"/>
        <v>16.149999999999999</v>
      </c>
      <c r="R29">
        <f t="shared" si="1"/>
        <v>0.03</v>
      </c>
      <c r="S29">
        <v>450</v>
      </c>
      <c r="T29">
        <f t="shared" si="2"/>
        <v>0.26809949999999999</v>
      </c>
      <c r="V29">
        <f t="shared" si="3"/>
        <v>0.03</v>
      </c>
    </row>
    <row r="30" spans="1:22" x14ac:dyDescent="0.25">
      <c r="K30" s="1"/>
      <c r="L30" s="1"/>
      <c r="M30" s="1"/>
      <c r="N30" s="1"/>
      <c r="O30">
        <f t="shared" si="0"/>
        <v>0</v>
      </c>
      <c r="R30">
        <f t="shared" si="1"/>
        <v>0.03</v>
      </c>
    </row>
    <row r="31" spans="1:22" x14ac:dyDescent="0.25">
      <c r="A31" t="s">
        <v>71</v>
      </c>
      <c r="B31" t="s">
        <v>72</v>
      </c>
      <c r="C31">
        <v>0</v>
      </c>
      <c r="D31">
        <v>0.03</v>
      </c>
      <c r="E31">
        <v>0</v>
      </c>
      <c r="F31">
        <v>0</v>
      </c>
      <c r="H31">
        <v>0</v>
      </c>
      <c r="I31">
        <v>0</v>
      </c>
      <c r="J31" s="2">
        <v>0</v>
      </c>
      <c r="M31">
        <v>1500</v>
      </c>
      <c r="N31" s="2">
        <v>0</v>
      </c>
      <c r="O31">
        <f t="shared" si="0"/>
        <v>-0.6</v>
      </c>
      <c r="R31">
        <f t="shared" si="1"/>
        <v>0.03</v>
      </c>
    </row>
    <row r="32" spans="1:22" x14ac:dyDescent="0.25">
      <c r="A32" s="2" t="s">
        <v>73</v>
      </c>
      <c r="B32" s="2" t="s">
        <v>74</v>
      </c>
      <c r="C32" s="2">
        <v>-1</v>
      </c>
      <c r="D32" s="2">
        <v>0.04</v>
      </c>
      <c r="E32" s="2">
        <v>1</v>
      </c>
      <c r="F32" s="2">
        <v>1</v>
      </c>
      <c r="G32" s="2"/>
      <c r="H32" s="2">
        <v>0.05</v>
      </c>
      <c r="I32" s="2">
        <v>0</v>
      </c>
      <c r="J32" s="2">
        <v>10</v>
      </c>
      <c r="K32" s="2"/>
      <c r="L32" s="2"/>
      <c r="M32" s="2">
        <v>1000</v>
      </c>
      <c r="N32" s="2">
        <v>0</v>
      </c>
      <c r="O32">
        <f t="shared" si="0"/>
        <v>-3.6500000000000004</v>
      </c>
      <c r="R32">
        <f t="shared" si="1"/>
        <v>0.03</v>
      </c>
    </row>
    <row r="33" spans="1:18" x14ac:dyDescent="0.25">
      <c r="A33" s="2" t="s">
        <v>75</v>
      </c>
      <c r="B33" s="2" t="s">
        <v>76</v>
      </c>
      <c r="C33" s="2">
        <v>-1</v>
      </c>
      <c r="D33" s="2">
        <v>0.06</v>
      </c>
      <c r="E33" s="2">
        <v>0</v>
      </c>
      <c r="F33" s="2">
        <v>2</v>
      </c>
      <c r="G33" s="2"/>
      <c r="H33" s="2">
        <v>0.05</v>
      </c>
      <c r="I33" s="2">
        <v>0</v>
      </c>
      <c r="J33" s="2">
        <v>10</v>
      </c>
      <c r="K33" s="2"/>
      <c r="L33" s="2"/>
      <c r="M33" s="2">
        <v>1000</v>
      </c>
      <c r="N33" s="2">
        <v>0</v>
      </c>
      <c r="O33">
        <f t="shared" si="0"/>
        <v>-3.8500000000000005</v>
      </c>
      <c r="R33">
        <f t="shared" si="1"/>
        <v>0.03</v>
      </c>
    </row>
    <row r="34" spans="1:18" x14ac:dyDescent="0.25">
      <c r="K34" s="1"/>
      <c r="L34" s="1"/>
      <c r="M34" s="1"/>
      <c r="N34" s="1"/>
      <c r="O34">
        <f t="shared" si="0"/>
        <v>0</v>
      </c>
      <c r="R34">
        <f t="shared" si="1"/>
        <v>0.03</v>
      </c>
    </row>
    <row r="35" spans="1:18" x14ac:dyDescent="0.25">
      <c r="B35" t="s">
        <v>77</v>
      </c>
      <c r="C35">
        <v>-1</v>
      </c>
      <c r="D35">
        <v>0.09</v>
      </c>
      <c r="E35">
        <v>-17</v>
      </c>
      <c r="F35">
        <v>-11</v>
      </c>
      <c r="H35">
        <v>0</v>
      </c>
      <c r="I35">
        <v>0</v>
      </c>
      <c r="J35">
        <v>0</v>
      </c>
      <c r="M35">
        <v>700</v>
      </c>
      <c r="O35">
        <f t="shared" si="0"/>
        <v>17.399999999999999</v>
      </c>
      <c r="Q35">
        <v>3.9</v>
      </c>
      <c r="R35">
        <f t="shared" si="1"/>
        <v>8.8499999999999995E-2</v>
      </c>
    </row>
    <row r="36" spans="1:18" x14ac:dyDescent="0.25">
      <c r="K36" s="1"/>
      <c r="L36" s="1"/>
      <c r="M36" s="1"/>
      <c r="N36" s="1"/>
      <c r="O36" s="1"/>
    </row>
    <row r="37" spans="1:18" x14ac:dyDescent="0.25">
      <c r="K37" s="1"/>
      <c r="L37" s="1"/>
      <c r="M37" s="1"/>
      <c r="N37" s="1"/>
      <c r="O37" s="1"/>
    </row>
    <row r="38" spans="1:18" x14ac:dyDescent="0.25">
      <c r="K38" s="1"/>
      <c r="L38" s="1"/>
      <c r="M38" s="1"/>
      <c r="N38" s="1"/>
      <c r="O38" s="1"/>
    </row>
    <row r="39" spans="1:18" x14ac:dyDescent="0.25">
      <c r="K39" s="1"/>
      <c r="L39" s="1"/>
      <c r="M39" s="1"/>
      <c r="N39" s="1"/>
      <c r="O39" s="1"/>
    </row>
    <row r="40" spans="1:18" x14ac:dyDescent="0.25">
      <c r="K40" s="1"/>
      <c r="L40" s="1"/>
      <c r="M40" s="1"/>
      <c r="N40" s="1"/>
      <c r="O40" s="1"/>
    </row>
    <row r="41" spans="1:18" x14ac:dyDescent="0.25">
      <c r="K41" s="1"/>
      <c r="L41" s="1"/>
      <c r="M41" s="1"/>
      <c r="N41" s="1"/>
      <c r="O41" s="1"/>
    </row>
    <row r="42" spans="1:18" x14ac:dyDescent="0.25">
      <c r="K42" s="1"/>
      <c r="L42" s="1"/>
      <c r="M42" s="1"/>
      <c r="N42" s="1"/>
      <c r="O42" s="1"/>
    </row>
    <row r="43" spans="1:18" x14ac:dyDescent="0.25">
      <c r="K43" s="1"/>
      <c r="L43" s="1"/>
      <c r="M43" s="1"/>
      <c r="N43" s="1"/>
      <c r="O43" s="1"/>
    </row>
    <row r="44" spans="1:18" x14ac:dyDescent="0.25">
      <c r="K44" s="1"/>
      <c r="L44" s="1"/>
      <c r="M44" s="1"/>
      <c r="N44" s="1"/>
      <c r="O44" s="1"/>
    </row>
    <row r="45" spans="1:18" x14ac:dyDescent="0.25">
      <c r="K45" s="1"/>
      <c r="L45" s="1"/>
      <c r="M45" s="1"/>
      <c r="N45" s="1"/>
      <c r="O45" s="1"/>
    </row>
    <row r="46" spans="1:18" x14ac:dyDescent="0.25">
      <c r="K46" s="1"/>
      <c r="L46" s="1"/>
      <c r="M46" s="1"/>
      <c r="N46" s="1"/>
      <c r="O46" s="1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556-muzzles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Wen, Yifan  (Student)</cp:lastModifiedBy>
  <dcterms:created xsi:type="dcterms:W3CDTF">2024-08-19T23:58:55Z</dcterms:created>
  <dcterms:modified xsi:type="dcterms:W3CDTF">2026-08-19T04:01:35Z</dcterms:modified>
</cp:coreProperties>
</file>