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.62x54R-ammo" sheetId="1" r:id="rId5"/>
    <sheet state="visible" name="Model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Damage formula: MAX(MIN(a × distance + b, c) × d, 0). Distances and weights are on the Model sheet.</t>
      </text>
    </comment>
    <comment authorId="0" ref="AJ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Linearly interpolates effective velocity between pen_low/pen_high and clamps to those endpoints.</t>
      </text>
    </comment>
    <comment authorId="0" ref="M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Direct values from calibers.csv. Edit these cells on this sheet to tune the ammo model.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Damage distance weights should total 100%.</t>
      </text>
    </comment>
  </commentList>
</comments>
</file>

<file path=xl/sharedStrings.xml><?xml version="1.0" encoding="utf-8"?>
<sst xmlns="http://schemas.openxmlformats.org/spreadsheetml/2006/main" count="124" uniqueCount="102">
  <si>
    <t>7.62x54R ammo scoring model</t>
  </si>
  <si>
    <t>Assumption</t>
  </si>
  <si>
    <t>Value</t>
  </si>
  <si>
    <t>balancing.csv inputs</t>
  </si>
  <si>
    <t>Purpose</t>
  </si>
  <si>
    <t>base velocity</t>
  </si>
  <si>
    <t>studs/s; add bullet_velocity modifier</t>
  </si>
  <si>
    <t>Damage reference</t>
  </si>
  <si>
    <t>calibers.csv damage inputs</t>
  </si>
  <si>
    <t>weighted damage scores above/below this</t>
  </si>
  <si>
    <t>Velocity-drop reference</t>
  </si>
  <si>
    <t>lower is better</t>
  </si>
  <si>
    <t>Suppression reference</t>
  </si>
  <si>
    <t>higher is better</t>
  </si>
  <si>
    <t>Penetration reference</t>
  </si>
  <si>
    <t>calculated torso damage by range</t>
  </si>
  <si>
    <t>Damage distance weights</t>
  </si>
  <si>
    <t>calibers.csv traits &amp; penetration inputs</t>
  </si>
  <si>
    <t>Distance (studs)</t>
  </si>
  <si>
    <t>Weight</t>
  </si>
  <si>
    <t>penetration model</t>
  </si>
  <si>
    <t>Rationale</t>
  </si>
  <si>
    <t>weighted score</t>
  </si>
  <si>
    <t>close</t>
  </si>
  <si>
    <t>common</t>
  </si>
  <si>
    <t>medium</t>
  </si>
  <si>
    <t>long</t>
  </si>
  <si>
    <t>name</t>
  </si>
  <si>
    <t>very long</t>
  </si>
  <si>
    <t>upper edge</t>
  </si>
  <si>
    <t>Weight check</t>
  </si>
  <si>
    <t>pretty_name</t>
  </si>
  <si>
    <t>ergonomics</t>
  </si>
  <si>
    <t>weight</t>
  </si>
  <si>
    <t>horizontal_recoil</t>
  </si>
  <si>
    <t>vertical_recoil</t>
  </si>
  <si>
    <t>barrel_deviation</t>
  </si>
  <si>
    <t>bullet_damage</t>
  </si>
  <si>
    <t>bullet_velocity</t>
  </si>
  <si>
    <t>fire_rate</t>
  </si>
  <si>
    <t>muzzle_loudness</t>
  </si>
  <si>
    <t>price</t>
  </si>
  <si>
    <t>damage_torso_a</t>
  </si>
  <si>
    <t>damage_torso_b</t>
  </si>
  <si>
    <t>damage_torso_c</t>
  </si>
  <si>
    <t>damage_torso_d</t>
  </si>
  <si>
    <t>damage_arm_d</t>
  </si>
  <si>
    <t>damage_leg_d</t>
  </si>
  <si>
    <t>damage_head_d</t>
  </si>
  <si>
    <t>damage_25</t>
  </si>
  <si>
    <t>damage_75</t>
  </si>
  <si>
    <t>damage_150</t>
  </si>
  <si>
    <t>damage_250</t>
  </si>
  <si>
    <t>damage_375</t>
  </si>
  <si>
    <t>damage_525</t>
  </si>
  <si>
    <t>_</t>
  </si>
  <si>
    <t>weighted_damage</t>
  </si>
  <si>
    <t>velocity_drop</t>
  </si>
  <si>
    <t>suppression</t>
  </si>
  <si>
    <t>bullet_penetration_ability</t>
  </si>
  <si>
    <t>pen_low</t>
  </si>
  <si>
    <t>pen_high</t>
  </si>
  <si>
    <t>pen_velocity_low</t>
  </si>
  <si>
    <t>pen_velocity_high</t>
  </si>
  <si>
    <t>effective_velocity</t>
  </si>
  <si>
    <t>balancing.csv stat weights</t>
  </si>
  <si>
    <t>penetration</t>
  </si>
  <si>
    <t>balance_score</t>
  </si>
  <si>
    <t>damage_score</t>
  </si>
  <si>
    <t>velocity_drop_score</t>
  </si>
  <si>
    <t>suppression_score</t>
  </si>
  <si>
    <t>penetration_score</t>
  </si>
  <si>
    <t>strength</t>
  </si>
  <si>
    <t>Stat</t>
  </si>
  <si>
    <t>7.62x54r_pga_rifle_150gr_spbt</t>
  </si>
  <si>
    <t>Interpretation</t>
  </si>
  <si>
    <t>Prva Garda Rifle Line 150gr SP-BT</t>
  </si>
  <si>
    <t>fractional modifier</t>
  </si>
  <si>
    <t>excluded from performance strength</t>
  </si>
  <si>
    <t>muzzle loudness</t>
  </si>
  <si>
    <t>fractional modifier, lower = better</t>
  </si>
  <si>
    <t>Ammo-specific metric weights</t>
  </si>
  <si>
    <t>points per damage above reference</t>
  </si>
  <si>
    <t>small effect; lower is better</t>
  </si>
  <si>
    <t>moderate effect; higher is better</t>
  </si>
  <si>
    <t>noticable effect; higher is better</t>
  </si>
  <si>
    <t>7.62x54r_norilsk_7n1_151gr_ps</t>
  </si>
  <si>
    <t>Norilsk 7N1 Snaiperskye 151gr PS</t>
  </si>
  <si>
    <t>7.62x54r_norilsk_7t2m_149gr_green_tracer</t>
  </si>
  <si>
    <t>Norilsk 7T2M 149gr Green Tracer</t>
  </si>
  <si>
    <t>7.62x54r_tsniitekhmash_57_n_323s_148gr_lps</t>
  </si>
  <si>
    <t>TsNIITekhMash 57-N-323S 148gr LPS</t>
  </si>
  <si>
    <t>7.62x54r_s&amp;b_174gr_hpbt</t>
  </si>
  <si>
    <t>Serrano &amp; Belmonte 174gr HPBT</t>
  </si>
  <si>
    <t>7.62x54r_norilsk_7n14_152gr_snb</t>
  </si>
  <si>
    <t>Norilsk 7N14 Snaiperskaya 152gr SNB</t>
  </si>
  <si>
    <t>7.62x54r_tsniitekhmash_7n37_182gr_bs</t>
  </si>
  <si>
    <t>TsNIITekhMash 7N37 Chórnoye Górlyshko 182gr BS</t>
  </si>
  <si>
    <t>7.62x54r_norilsk_b32m_164gr_api</t>
  </si>
  <si>
    <t>Norilsk B-32M 162gr API</t>
  </si>
  <si>
    <t>7.62x54r_subsonic_200gr</t>
  </si>
  <si>
    <t>Tezu Handloaded 200gr Subsonic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</si>
</sst>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"/>
    <numFmt numFmtId="166" formatCode="0.0000"/>
  </numFmts>
  <fonts count="15">
    <font>
      <sz val="11.0"/>
      <color rgb="FF000000"/>
      <name val="Carlito"/>
      <scheme val="minor"/>
    </font>
    <font>
      <b/>
      <sz val="16.0"/>
      <color rgb="FFFFFFFF"/>
      <name val="Carlito"/>
      <scheme val="minor"/>
    </font>
    <font/>
    <font>
      <sz val="11.0"/>
      <color theme="1"/>
      <name val="Carlito"/>
      <scheme val="minor"/>
    </font>
    <font>
      <b/>
      <color rgb="FFFFFFFF"/>
      <name val="Carlito"/>
      <scheme val="minor"/>
    </font>
    <font>
      <color rgb="FF000000"/>
      <name val="Carlito"/>
      <scheme val="minor"/>
    </font>
    <font>
      <b/>
      <sz val="12.0"/>
      <color rgb="FFFFFFFF"/>
      <name val="Carlito"/>
      <scheme val="minor"/>
    </font>
    <font>
      <color rgb="FF1F2933"/>
      <name val="Carlito"/>
      <scheme val="minor"/>
    </font>
    <font>
      <b/>
      <sz val="10.0"/>
      <color rgb="FFFFFFFF"/>
      <name val="Carlito"/>
      <scheme val="minor"/>
    </font>
    <font>
      <sz val="10.0"/>
      <color theme="1"/>
      <name val="Carlito"/>
      <scheme val="minor"/>
    </font>
    <font>
      <sz val="10.0"/>
      <color rgb="FF1F2933"/>
      <name val="Carlito"/>
      <scheme val="minor"/>
    </font>
    <font>
      <sz val="9.0"/>
      <color theme="1"/>
      <name val="Carlito"/>
      <scheme val="minor"/>
    </font>
    <font>
      <sz val="9.0"/>
      <color rgb="FF1F2933"/>
      <name val="Carlito"/>
      <scheme val="minor"/>
    </font>
    <font>
      <sz val="9.0"/>
      <color theme="1"/>
      <name val="Carlito"/>
    </font>
    <font>
      <sz val="20.0"/>
      <color theme="1"/>
      <name val="Carlito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2F6B9A"/>
        <bgColor rgb="FF2F6B9A"/>
      </patternFill>
    </fill>
    <fill>
      <patternFill patternType="solid">
        <fgColor rgb="FFEAF3F8"/>
        <bgColor rgb="FFEAF3F8"/>
      </patternFill>
    </fill>
    <fill>
      <patternFill patternType="solid">
        <fgColor rgb="FF385B47"/>
        <bgColor rgb="FF385B47"/>
      </patternFill>
    </fill>
    <fill>
      <patternFill patternType="solid">
        <fgColor rgb="FF9A642D"/>
        <bgColor rgb="FF9A642D"/>
      </patternFill>
    </fill>
    <fill>
      <patternFill patternType="solid">
        <fgColor rgb="FF684A86"/>
        <bgColor rgb="FF684A86"/>
      </patternFill>
    </fill>
    <fill>
      <patternFill patternType="solid">
        <fgColor rgb="FF2C6E73"/>
        <bgColor rgb="FF2C6E73"/>
      </patternFill>
    </fill>
    <fill>
      <patternFill patternType="solid">
        <fgColor rgb="FFF5F7F9"/>
        <bgColor rgb="FFF5F7F9"/>
      </patternFill>
    </fill>
    <fill>
      <patternFill patternType="solid">
        <fgColor rgb="FFFFF5D9"/>
        <bgColor rgb="FFFFF5D9"/>
      </patternFill>
    </fill>
    <fill>
      <patternFill patternType="solid">
        <fgColor rgb="FFEDF7EE"/>
        <bgColor rgb="FFEDF7EE"/>
      </patternFill>
    </fill>
    <fill>
      <patternFill patternType="solid">
        <fgColor rgb="FFF1ECF7"/>
        <bgColor rgb="FFF1ECF7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D8E0E7"/>
      </bottom>
    </border>
    <border>
      <left/>
      <right/>
      <top style="thin">
        <color rgb="FFD8E0E7"/>
      </top>
      <bottom style="thin">
        <color rgb="FFD8E0E7"/>
      </bottom>
    </border>
    <border>
      <top style="thin">
        <color rgb="FFD8E0E7"/>
      </top>
      <bottom style="thin">
        <color rgb="FFD8E0E7"/>
      </bottom>
    </border>
    <border>
      <left/>
      <right/>
      <top/>
      <bottom/>
    </border>
    <border>
      <left/>
      <top style="thin">
        <color rgb="FFD8E0E7"/>
      </top>
      <bottom style="thin">
        <color rgb="FFD8E0E7"/>
      </bottom>
    </border>
    <border>
      <right/>
      <top style="thin">
        <color rgb="FFD8E0E7"/>
      </top>
      <bottom style="thin">
        <color rgb="FFD8E0E7"/>
      </bottom>
    </border>
    <border>
      <left/>
      <right/>
      <top style="thin">
        <color rgb="FFD8E0E7"/>
      </top>
    </border>
    <border>
      <left/>
      <right/>
      <top style="thin">
        <color rgb="FFD8E0E7"/>
      </top>
      <bottom/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4" fontId="5" numFmtId="0" xfId="0" applyAlignment="1" applyBorder="1" applyFill="1" applyFont="1">
      <alignment readingOrder="0" vertical="bottom"/>
    </xf>
    <xf borderId="1" fillId="3" fontId="6" numFmtId="0" xfId="0" applyAlignment="1" applyBorder="1" applyFill="1" applyFont="1">
      <alignment horizontal="center" vertical="center"/>
    </xf>
    <xf borderId="5" fillId="4" fontId="7" numFmtId="3" xfId="0" applyAlignment="1" applyBorder="1" applyFill="1" applyFont="1" applyNumberFormat="1">
      <alignment horizontal="right" readingOrder="0" vertical="bottom"/>
    </xf>
    <xf borderId="6" fillId="0" fontId="7" numFmtId="0" xfId="0" applyAlignment="1" applyBorder="1" applyFont="1">
      <alignment vertical="bottom"/>
    </xf>
    <xf borderId="5" fillId="4" fontId="7" numFmtId="0" xfId="0" applyAlignment="1" applyBorder="1" applyFill="1" applyFont="1">
      <alignment vertical="bottom"/>
    </xf>
    <xf borderId="5" fillId="4" fontId="7" numFmtId="2" xfId="0" applyAlignment="1" applyBorder="1" applyFill="1" applyFont="1" applyNumberFormat="1">
      <alignment horizontal="right" readingOrder="0" vertical="bottom"/>
    </xf>
    <xf borderId="5" fillId="4" fontId="7" numFmtId="2" xfId="0" applyAlignment="1" applyBorder="1" applyFill="1" applyFont="1" applyNumberFormat="1">
      <alignment horizontal="right" vertical="bottom"/>
    </xf>
    <xf borderId="1" fillId="5" fontId="6" numFmtId="0" xfId="0" applyAlignment="1" applyBorder="1" applyFill="1" applyFont="1">
      <alignment horizontal="center" vertical="center"/>
    </xf>
    <xf borderId="7" fillId="5" fontId="6" numFmtId="0" xfId="0" applyAlignment="1" applyBorder="1" applyFill="1" applyFont="1">
      <alignment horizontal="center" vertical="center"/>
    </xf>
    <xf borderId="6" fillId="0" fontId="3" numFmtId="0" xfId="0" applyAlignment="1" applyBorder="1" applyFont="1">
      <alignment vertical="bottom"/>
    </xf>
    <xf borderId="1" fillId="6" fontId="6" numFmtId="0" xfId="0" applyAlignment="1" applyBorder="1" applyFill="1" applyFont="1">
      <alignment horizontal="center" vertical="center"/>
    </xf>
    <xf borderId="8" fillId="7" fontId="4" numFmtId="0" xfId="0" applyAlignment="1" applyBorder="1" applyFill="1" applyFont="1">
      <alignment vertical="bottom"/>
    </xf>
    <xf borderId="6" fillId="0" fontId="2" numFmtId="0" xfId="0" applyBorder="1" applyFont="1"/>
    <xf borderId="9" fillId="0" fontId="2" numFmtId="0" xfId="0" applyBorder="1" applyFont="1"/>
    <xf borderId="5" fillId="3" fontId="4" numFmtId="0" xfId="0" applyAlignment="1" applyBorder="1" applyFill="1" applyFont="1">
      <alignment horizontal="center" vertical="bottom"/>
    </xf>
    <xf borderId="1" fillId="8" fontId="6" numFmtId="0" xfId="0" applyAlignment="1" applyBorder="1" applyFill="1" applyFont="1">
      <alignment horizontal="center" vertical="center"/>
    </xf>
    <xf borderId="5" fillId="9" fontId="7" numFmtId="0" xfId="0" applyAlignment="1" applyBorder="1" applyFill="1" applyFont="1">
      <alignment horizontal="right" readingOrder="0" vertical="bottom"/>
    </xf>
    <xf borderId="5" fillId="9" fontId="7" numFmtId="164" xfId="0" applyAlignment="1" applyBorder="1" applyFill="1" applyFont="1" applyNumberFormat="1">
      <alignment horizontal="right" readingOrder="0" vertical="bottom"/>
    </xf>
    <xf borderId="1" fillId="7" fontId="6" numFmtId="0" xfId="0" applyAlignment="1" applyBorder="1" applyFill="1" applyFont="1">
      <alignment horizontal="center" vertical="center"/>
    </xf>
    <xf borderId="5" fillId="9" fontId="7" numFmtId="0" xfId="0" applyAlignment="1" applyBorder="1" applyFill="1" applyFont="1">
      <alignment vertical="bottom"/>
    </xf>
    <xf borderId="5" fillId="9" fontId="7" numFmtId="164" xfId="0" applyAlignment="1" applyBorder="1" applyFill="1" applyFont="1" applyNumberFormat="1">
      <alignment horizontal="right" vertical="bottom"/>
    </xf>
    <xf borderId="4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ill="1" applyFont="1">
      <alignment horizontal="center" readingOrder="0" shrinkToFit="0" vertical="center" wrapText="1"/>
    </xf>
    <xf borderId="5" fillId="9" fontId="3" numFmtId="0" xfId="0" applyAlignment="1" applyBorder="1" applyFill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left" readingOrder="0"/>
    </xf>
    <xf borderId="10" fillId="4" fontId="10" numFmtId="1" xfId="0" applyAlignment="1" applyBorder="1" applyFill="1" applyFont="1" applyNumberFormat="1">
      <alignment horizontal="right" readingOrder="0"/>
    </xf>
    <xf borderId="10" fillId="4" fontId="10" numFmtId="2" xfId="0" applyAlignment="1" applyBorder="1" applyFill="1" applyFont="1" applyNumberFormat="1">
      <alignment horizontal="right" readingOrder="0"/>
    </xf>
    <xf borderId="5" fillId="9" fontId="7" numFmtId="165" xfId="0" applyAlignment="1" applyBorder="1" applyFill="1" applyFont="1" applyNumberFormat="1">
      <alignment horizontal="right" vertical="bottom"/>
    </xf>
    <xf borderId="0" fillId="4" fontId="10" numFmtId="165" xfId="0" applyAlignment="1" applyFill="1" applyFont="1" applyNumberFormat="1">
      <alignment horizontal="right"/>
    </xf>
    <xf borderId="0" fillId="4" fontId="10" numFmtId="2" xfId="0" applyAlignment="1" applyFill="1" applyFont="1" applyNumberFormat="1">
      <alignment horizontal="right"/>
    </xf>
    <xf borderId="0" fillId="4" fontId="10" numFmtId="2" xfId="0" applyAlignment="1" applyFill="1" applyFont="1" applyNumberFormat="1">
      <alignment horizontal="right" readingOrder="0"/>
    </xf>
    <xf borderId="10" fillId="4" fontId="10" numFmtId="0" xfId="0" applyAlignment="1" applyBorder="1" applyFill="1" applyFont="1">
      <alignment horizontal="right" readingOrder="0"/>
    </xf>
    <xf borderId="5" fillId="9" fontId="7" numFmtId="165" xfId="0" applyAlignment="1" applyBorder="1" applyFill="1" applyFont="1" applyNumberFormat="1">
      <alignment horizontal="right" readingOrder="0"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0" fillId="10" fontId="10" numFmtId="0" xfId="0" applyAlignment="1" applyFill="1" applyFont="1">
      <alignment horizontal="right"/>
    </xf>
    <xf borderId="5" fillId="9" fontId="7" numFmtId="166" xfId="0" applyAlignment="1" applyBorder="1" applyFill="1" applyFont="1" applyNumberFormat="1">
      <alignment horizontal="right" vertical="bottom"/>
    </xf>
    <xf borderId="0" fillId="11" fontId="10" numFmtId="2" xfId="0" applyAlignment="1" applyFill="1" applyFont="1" applyNumberFormat="1">
      <alignment horizontal="right"/>
    </xf>
    <xf borderId="6" fillId="0" fontId="3" numFmtId="0" xfId="0" applyAlignment="1" applyBorder="1" applyFont="1">
      <alignment readingOrder="0" vertical="bottom"/>
    </xf>
    <xf borderId="6" fillId="0" fontId="3" numFmtId="165" xfId="0" applyAlignment="1" applyBorder="1" applyFont="1" applyNumberFormat="1">
      <alignment readingOrder="0" vertical="bottom"/>
    </xf>
    <xf borderId="5" fillId="12" fontId="7" numFmtId="0" xfId="0" applyAlignment="1" applyBorder="1" applyFill="1" applyFont="1">
      <alignment vertical="bottom"/>
    </xf>
    <xf borderId="5" fillId="12" fontId="7" numFmtId="165" xfId="0" applyAlignment="1" applyBorder="1" applyFill="1" applyFont="1" applyNumberFormat="1">
      <alignment horizontal="right" readingOrder="0" vertical="bottom"/>
    </xf>
    <xf borderId="5" fillId="12" fontId="7" numFmtId="165" xfId="0" applyAlignment="1" applyBorder="1" applyFill="1" applyFont="1" applyNumberFormat="1">
      <alignment horizontal="right" vertical="bottom"/>
    </xf>
    <xf borderId="11" fillId="12" fontId="7" numFmtId="0" xfId="0" applyAlignment="1" applyBorder="1" applyFill="1" applyFont="1">
      <alignment vertical="bottom"/>
    </xf>
    <xf borderId="11" fillId="12" fontId="7" numFmtId="165" xfId="0" applyAlignment="1" applyBorder="1" applyFill="1" applyFont="1" applyNumberFormat="1">
      <alignment horizontal="right" readingOrder="0" vertical="bottom"/>
    </xf>
    <xf borderId="11" fillId="12" fontId="7" numFmtId="0" xfId="0" applyAlignment="1" applyBorder="1" applyFill="1" applyFont="1">
      <alignment readingOrder="0" vertical="bottom"/>
    </xf>
    <xf borderId="0" fillId="0" fontId="9" numFmtId="2" xfId="0" applyAlignment="1" applyFont="1" applyNumberFormat="1">
      <alignment horizontal="right" readingOrder="0" vertical="bottom"/>
    </xf>
    <xf borderId="10" fillId="10" fontId="10" numFmtId="2" xfId="0" applyAlignment="1" applyBorder="1" applyFill="1" applyFont="1" applyNumberFormat="1">
      <alignment horizontal="right" readingOrder="0"/>
    </xf>
    <xf borderId="0" fillId="10" fontId="10" numFmtId="3" xfId="0" applyAlignment="1" applyFill="1" applyFont="1" applyNumberFormat="1">
      <alignment horizontal="right"/>
    </xf>
    <xf borderId="0" fillId="11" fontId="10" numFmtId="3" xfId="0" applyAlignment="1" applyFill="1" applyFont="1" applyNumberFormat="1">
      <alignment horizontal="right"/>
    </xf>
    <xf borderId="0" fillId="12" fontId="10" numFmtId="2" xfId="0" applyAlignment="1" applyFill="1" applyFont="1" applyNumberFormat="1">
      <alignment horizontal="right"/>
    </xf>
    <xf borderId="0" fillId="13" fontId="9" numFmtId="0" xfId="0" applyAlignment="1" applyFill="1" applyFont="1">
      <alignment readingOrder="0" vertical="bottom"/>
    </xf>
    <xf borderId="10" fillId="4" fontId="10" numFmtId="165" xfId="0" applyAlignment="1" applyBorder="1" applyFill="1" applyFont="1" applyNumberFormat="1">
      <alignment horizontal="right"/>
    </xf>
    <xf borderId="10" fillId="4" fontId="10" numFmtId="2" xfId="0" applyAlignment="1" applyBorder="1" applyFill="1" applyFont="1" applyNumberFormat="1">
      <alignment horizontal="right"/>
    </xf>
    <xf borderId="10" fillId="10" fontId="10" numFmtId="0" xfId="0" applyAlignment="1" applyBorder="1" applyFill="1" applyFont="1">
      <alignment horizontal="right"/>
    </xf>
    <xf borderId="10" fillId="11" fontId="10" numFmtId="2" xfId="0" applyAlignment="1" applyBorder="1" applyFill="1" applyFont="1" applyNumberFormat="1">
      <alignment horizontal="right"/>
    </xf>
    <xf borderId="10" fillId="10" fontId="10" numFmtId="3" xfId="0" applyAlignment="1" applyBorder="1" applyFill="1" applyFont="1" applyNumberFormat="1">
      <alignment horizontal="right"/>
    </xf>
    <xf borderId="10" fillId="11" fontId="10" numFmtId="3" xfId="0" applyAlignment="1" applyBorder="1" applyFill="1" applyFont="1" applyNumberFormat="1">
      <alignment horizontal="right"/>
    </xf>
    <xf borderId="10" fillId="12" fontId="10" numFmtId="2" xfId="0" applyAlignment="1" applyBorder="1" applyFill="1" applyFont="1" applyNumberFormat="1">
      <alignment horizontal="right"/>
    </xf>
    <xf borderId="0" fillId="0" fontId="9" numFmtId="0" xfId="0" applyAlignment="1" applyFont="1">
      <alignment horizontal="right" readingOrder="0" vertical="bottom"/>
    </xf>
    <xf borderId="0" fillId="14" fontId="11" numFmtId="0" xfId="0" applyAlignment="1" applyFill="1" applyFont="1">
      <alignment vertical="bottom"/>
    </xf>
    <xf borderId="0" fillId="14" fontId="11" numFmtId="0" xfId="0" applyAlignment="1" applyFill="1" applyFont="1">
      <alignment horizontal="left" readingOrder="0"/>
    </xf>
    <xf borderId="0" fillId="14" fontId="12" numFmtId="1" xfId="0" applyAlignment="1" applyFill="1" applyFont="1" applyNumberFormat="1">
      <alignment horizontal="right" readingOrder="0"/>
    </xf>
    <xf borderId="0" fillId="14" fontId="12" numFmtId="2" xfId="0" applyAlignment="1" applyFill="1" applyFont="1" applyNumberFormat="1">
      <alignment horizontal="right" readingOrder="0"/>
    </xf>
    <xf borderId="0" fillId="14" fontId="12" numFmtId="165" xfId="0" applyAlignment="1" applyFill="1" applyFont="1" applyNumberFormat="1">
      <alignment horizontal="right"/>
    </xf>
    <xf borderId="0" fillId="14" fontId="12" numFmtId="2" xfId="0" applyAlignment="1" applyFill="1" applyFont="1" applyNumberFormat="1">
      <alignment horizontal="right"/>
    </xf>
    <xf borderId="0" fillId="14" fontId="12" numFmtId="0" xfId="0" applyAlignment="1" applyFill="1" applyFont="1">
      <alignment horizontal="right" readingOrder="0"/>
    </xf>
    <xf borderId="0" fillId="14" fontId="11" numFmtId="0" xfId="0" applyAlignment="1" applyFill="1" applyFont="1">
      <alignment horizontal="right" readingOrder="0" vertical="bottom"/>
    </xf>
    <xf borderId="0" fillId="14" fontId="11" numFmtId="2" xfId="0" applyAlignment="1" applyFill="1" applyFont="1" applyNumberFormat="1">
      <alignment horizontal="right" readingOrder="0" vertical="bottom"/>
    </xf>
    <xf borderId="0" fillId="14" fontId="12" numFmtId="0" xfId="0" applyAlignment="1" applyFill="1" applyFont="1">
      <alignment horizontal="right"/>
    </xf>
    <xf borderId="0" fillId="14" fontId="12" numFmtId="3" xfId="0" applyAlignment="1" applyFill="1" applyFont="1" applyNumberFormat="1">
      <alignment horizontal="right"/>
    </xf>
    <xf borderId="0" fillId="14" fontId="11" numFmtId="0" xfId="0" applyAlignment="1" applyFill="1" applyFont="1">
      <alignment vertical="bottom"/>
    </xf>
    <xf borderId="0" fillId="14" fontId="11" numFmtId="0" xfId="0" applyAlignment="1" applyFill="1" applyFont="1">
      <alignment horizontal="left" readingOrder="0"/>
    </xf>
    <xf borderId="0" fillId="14" fontId="12" numFmtId="0" xfId="0" applyAlignment="1" applyFill="1" applyFont="1">
      <alignment horizontal="right" readingOrder="0"/>
    </xf>
    <xf borderId="0" fillId="14" fontId="12" numFmtId="0" xfId="0" applyAlignment="1" applyFill="1" applyFont="1">
      <alignment horizontal="right"/>
    </xf>
    <xf borderId="0" fillId="14" fontId="11" numFmtId="0" xfId="0" applyAlignment="1" applyFill="1" applyFont="1">
      <alignment horizontal="right" readingOrder="0" vertical="bottom"/>
    </xf>
    <xf borderId="0" fillId="14" fontId="11" numFmtId="0" xfId="0" applyAlignment="1" applyFill="1" applyFont="1">
      <alignment horizontal="right" vertical="bottom"/>
    </xf>
    <xf borderId="0" fillId="14" fontId="13" numFmtId="0" xfId="0" applyAlignment="1" applyFill="1" applyFont="1">
      <alignment horizontal="right" readingOrder="0" vertical="bottom"/>
    </xf>
    <xf borderId="0" fillId="14" fontId="0" numFmtId="0" xfId="0" applyAlignment="1" applyFill="1" applyFont="1">
      <alignment horizontal="right" readingOrder="0"/>
    </xf>
    <xf borderId="0" fillId="14" fontId="0" numFmtId="0" xfId="0" applyAlignment="1" applyFill="1" applyFont="1">
      <alignment horizontal="right" readingOrder="0"/>
    </xf>
    <xf borderId="0" fillId="0" fontId="14" numFmtId="0" xfId="0" applyAlignment="1" applyFont="1">
      <alignment readingOrder="0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7.62x54R-ammo-style">
      <tableStyleElement dxfId="1" type="headerRow"/>
      <tableStyleElement dxfId="2" type="firstRowStripe"/>
      <tableStyleElement dxfId="3" type="secondRowStripe"/>
    </tableStyle>
    <tableStyle count="2" pivot="0" name="7.62x54R-ammo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AP19" displayName="Table_1" name="Table_1" id="1">
  <tableColumns count="42">
    <tableColumn name="name" id="1"/>
    <tableColumn name="pretty_name" id="2"/>
    <tableColumn name="ergonomics" id="3"/>
    <tableColumn name="weight" id="4"/>
    <tableColumn name="horizontal_recoil" id="5"/>
    <tableColumn name="vertical_recoil" id="6"/>
    <tableColumn name="barrel_deviation" id="7"/>
    <tableColumn name="bullet_damage" id="8"/>
    <tableColumn name="bullet_velocity" id="9"/>
    <tableColumn name="fire_rate" id="10"/>
    <tableColumn name="muzzle_loudness" id="11"/>
    <tableColumn name="price" id="12"/>
    <tableColumn name="damage_torso_a" id="13"/>
    <tableColumn name="damage_torso_b" id="14"/>
    <tableColumn name="damage_torso_c" id="15"/>
    <tableColumn name="damage_torso_d" id="16"/>
    <tableColumn name="damage_arm_d" id="17"/>
    <tableColumn name="damage_leg_d" id="18"/>
    <tableColumn name="damage_head_d" id="19"/>
    <tableColumn name="damage_25" id="20"/>
    <tableColumn name="damage_75" id="21"/>
    <tableColumn name="damage_150" id="22"/>
    <tableColumn name="damage_250" id="23"/>
    <tableColumn name="damage_375" id="24"/>
    <tableColumn name="damage_525" id="25"/>
    <tableColumn name="_" id="26"/>
    <tableColumn name="weighted_damage" id="27"/>
    <tableColumn name="velocity_drop" id="28"/>
    <tableColumn name="suppression" id="29"/>
    <tableColumn name="bullet_penetration_ability" id="30"/>
    <tableColumn name="pen_low" id="31"/>
    <tableColumn name="pen_high" id="32"/>
    <tableColumn name="pen_velocity_low" id="33"/>
    <tableColumn name="pen_velocity_high" id="34"/>
    <tableColumn name="effective_velocity" id="35"/>
    <tableColumn name="penetration" id="36"/>
    <tableColumn name="balance_score" id="37"/>
    <tableColumn name="damage_score" id="38"/>
    <tableColumn name="velocity_drop_score" id="39"/>
    <tableColumn name="suppression_score" id="40"/>
    <tableColumn name="penetration_score" id="41"/>
    <tableColumn name="strength" id="42"/>
  </tableColumns>
  <tableStyleInfo name="7.62x54R-am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8:AP46" displayName="Table_2" name="Table_2" id="2">
  <tableColumns count="4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</tableColumns>
  <tableStyleInfo name="7.62x54R-amm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63"/>
    <col customWidth="1" min="2" max="2" width="29.0"/>
    <col customWidth="1" min="3" max="8" width="5.63"/>
    <col customWidth="1" min="9" max="9" width="8.0"/>
    <col customWidth="1" min="10" max="29" width="5.63"/>
    <col customWidth="1" min="30" max="30" width="24.88"/>
    <col customWidth="1" min="31" max="42" width="5.63"/>
  </cols>
  <sheetData>
    <row r="1" ht="24.0" customHeight="1">
      <c r="A1" s="7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13" t="s">
        <v>8</v>
      </c>
      <c r="N1" s="2"/>
      <c r="O1" s="2"/>
      <c r="P1" s="3"/>
      <c r="Q1" s="14"/>
      <c r="R1" s="14"/>
      <c r="S1" s="14"/>
      <c r="T1" s="16" t="s">
        <v>15</v>
      </c>
      <c r="U1" s="2"/>
      <c r="V1" s="2"/>
      <c r="W1" s="2"/>
      <c r="X1" s="2"/>
      <c r="Y1" s="2"/>
      <c r="Z1" s="2"/>
      <c r="AA1" s="3"/>
      <c r="AB1" s="13" t="s">
        <v>17</v>
      </c>
      <c r="AC1" s="2"/>
      <c r="AD1" s="2"/>
      <c r="AE1" s="2"/>
      <c r="AF1" s="2"/>
      <c r="AG1" s="2"/>
      <c r="AH1" s="3"/>
      <c r="AI1" s="21" t="s">
        <v>20</v>
      </c>
      <c r="AJ1" s="3"/>
      <c r="AK1" s="24" t="s">
        <v>22</v>
      </c>
      <c r="AL1" s="2"/>
      <c r="AM1" s="2"/>
      <c r="AN1" s="2"/>
      <c r="AO1" s="2"/>
      <c r="AP1" s="3"/>
    </row>
    <row r="2" ht="45.75" customHeight="1">
      <c r="A2" s="27" t="s">
        <v>27</v>
      </c>
      <c r="B2" s="27" t="s">
        <v>31</v>
      </c>
      <c r="C2" s="27" t="s">
        <v>32</v>
      </c>
      <c r="D2" s="27" t="s">
        <v>33</v>
      </c>
      <c r="E2" s="27" t="s">
        <v>34</v>
      </c>
      <c r="F2" s="27" t="s">
        <v>35</v>
      </c>
      <c r="G2" s="27" t="s">
        <v>36</v>
      </c>
      <c r="H2" s="27" t="s">
        <v>37</v>
      </c>
      <c r="I2" s="27" t="s">
        <v>38</v>
      </c>
      <c r="J2" s="27" t="s">
        <v>39</v>
      </c>
      <c r="K2" s="28" t="s">
        <v>40</v>
      </c>
      <c r="L2" s="27" t="s">
        <v>41</v>
      </c>
      <c r="M2" s="27" t="s">
        <v>42</v>
      </c>
      <c r="N2" s="27" t="s">
        <v>43</v>
      </c>
      <c r="O2" s="27" t="s">
        <v>44</v>
      </c>
      <c r="P2" s="27" t="s">
        <v>45</v>
      </c>
      <c r="Q2" s="27" t="s">
        <v>46</v>
      </c>
      <c r="R2" s="27" t="s">
        <v>47</v>
      </c>
      <c r="S2" s="27" t="s">
        <v>48</v>
      </c>
      <c r="T2" s="27" t="s">
        <v>49</v>
      </c>
      <c r="U2" s="27" t="s">
        <v>50</v>
      </c>
      <c r="V2" s="27" t="s">
        <v>51</v>
      </c>
      <c r="W2" s="27" t="s">
        <v>52</v>
      </c>
      <c r="X2" s="27" t="s">
        <v>53</v>
      </c>
      <c r="Y2" s="28" t="s">
        <v>54</v>
      </c>
      <c r="Z2" s="28" t="s">
        <v>55</v>
      </c>
      <c r="AA2" s="27" t="s">
        <v>56</v>
      </c>
      <c r="AB2" s="27" t="s">
        <v>57</v>
      </c>
      <c r="AC2" s="27" t="s">
        <v>58</v>
      </c>
      <c r="AD2" s="27" t="s">
        <v>59</v>
      </c>
      <c r="AE2" s="27" t="s">
        <v>60</v>
      </c>
      <c r="AF2" s="27" t="s">
        <v>61</v>
      </c>
      <c r="AG2" s="27" t="s">
        <v>62</v>
      </c>
      <c r="AH2" s="27" t="s">
        <v>63</v>
      </c>
      <c r="AI2" s="27" t="s">
        <v>64</v>
      </c>
      <c r="AJ2" s="27" t="s">
        <v>66</v>
      </c>
      <c r="AK2" s="27" t="s">
        <v>67</v>
      </c>
      <c r="AL2" s="27" t="s">
        <v>68</v>
      </c>
      <c r="AM2" s="27" t="s">
        <v>69</v>
      </c>
      <c r="AN2" s="27" t="s">
        <v>70</v>
      </c>
      <c r="AO2" s="27" t="s">
        <v>71</v>
      </c>
      <c r="AP2" s="27" t="s">
        <v>72</v>
      </c>
    </row>
    <row r="3" ht="14.25" customHeight="1">
      <c r="A3" s="30" t="s">
        <v>74</v>
      </c>
      <c r="B3" s="31" t="s">
        <v>76</v>
      </c>
      <c r="C3" s="32">
        <v>1.0</v>
      </c>
      <c r="D3" s="33">
        <v>0.0</v>
      </c>
      <c r="E3" s="32">
        <v>0.0</v>
      </c>
      <c r="F3" s="32">
        <v>-2.0</v>
      </c>
      <c r="G3" s="33">
        <v>-0.05</v>
      </c>
      <c r="H3" s="35"/>
      <c r="I3" s="32">
        <v>-100.0</v>
      </c>
      <c r="J3" s="36"/>
      <c r="K3" s="37">
        <v>0.0</v>
      </c>
      <c r="L3" s="38">
        <v>1000.0</v>
      </c>
      <c r="M3" s="40">
        <v>-0.042</v>
      </c>
      <c r="N3" s="40">
        <v>120.0</v>
      </c>
      <c r="O3" s="40">
        <v>121.0</v>
      </c>
      <c r="P3" s="40">
        <v>1.0</v>
      </c>
      <c r="Q3" s="40">
        <v>0.35</v>
      </c>
      <c r="R3" s="41">
        <v>0.55</v>
      </c>
      <c r="S3" s="42">
        <v>2.5</v>
      </c>
      <c r="T3" s="44">
        <f>MAX(MIN($M3*Model!$A$13+$N3,$O3)*$P3,0)</f>
        <v>117.9</v>
      </c>
      <c r="U3" s="44">
        <f>MAX(MIN($M3*Model!$A$14+$N3,$O3)*$P3,0)</f>
        <v>115.8</v>
      </c>
      <c r="V3" s="44">
        <f>MAX(MIN($M3*Model!$A$15+$N3,$O3)*$P3,0)</f>
        <v>111.6</v>
      </c>
      <c r="W3" s="44">
        <f>MAX(MIN($M3*Model!$A$16+$N3,$O3)*$P3,0)</f>
        <v>107.4</v>
      </c>
      <c r="X3" s="44">
        <f>MAX(MIN($M3*Model!$A$17+$N3,$O3)*$P3,0)</f>
        <v>103.2</v>
      </c>
      <c r="Y3" s="44">
        <f>MAX(MIN($M3*Model!$A$18+$N3,$O3)*$P3,0)</f>
        <v>96.9</v>
      </c>
      <c r="Z3" s="44">
        <f>MAX(MIN($M3*Model!$A$19+$N3,$O3)*$P3,0)</f>
        <v>88.5</v>
      </c>
      <c r="AA3" s="44">
        <f>T3*Model!$B$13+U3*Model!$B$14+V3*Model!$B$15+W3*Model!$B$16+X3*Model!$B$17+Y3*Model!$B$18+Z3*Model!$B$19</f>
        <v>107.715</v>
      </c>
      <c r="AB3" s="53">
        <v>0.25</v>
      </c>
      <c r="AC3" s="53">
        <v>0.8</v>
      </c>
      <c r="AD3" s="42" t="str">
        <f>CONCATENATE("stat(bullet_velocity;",'7.62x54R-ammo'!$AE3,";",'7.62x54R-ammo'!$AF3,";",'7.62x54R-ammo'!$AG3,";",'7.62x54R-ammo'!$AH3,")")</f>
        <v>stat(bullet_velocity;0;0.5;1500;3000)</v>
      </c>
      <c r="AE3" s="54">
        <v>0.0</v>
      </c>
      <c r="AF3" s="54">
        <v>0.5</v>
      </c>
      <c r="AG3" s="55">
        <v>1500.0</v>
      </c>
      <c r="AH3" s="55">
        <v>3000.0</v>
      </c>
      <c r="AI3" s="56">
        <f>Model!$B$4+IF(I3="",0,I3)</f>
        <v>2019</v>
      </c>
      <c r="AJ3" s="44">
        <f t="shared" ref="AJ3:AJ11" si="1">MAX(AE3,MIN(AF3,AE3+(AI3-AG3)*(AF3-AE3)/(AH3-AG3)))</f>
        <v>0.173</v>
      </c>
      <c r="AK3" s="57">
        <f>C3*Model!$B$24+D3*Model!$B$25+E3*Model!$B$26+F3*Model!$B$27+G3*Model!$B$28+H3*Model!$B$29+I3*Model!$B$30+J3*Model!$B$31+L3*Model!$B$32+K3*Model!$B$33</f>
        <v>2.6</v>
      </c>
      <c r="AL3" s="57">
        <f>(AA3-Model!$B$5)*Model!$B$35</f>
        <v>3.8575</v>
      </c>
      <c r="AM3" s="57">
        <f>(Model!$B$6-AB3)*Model!$B$36</f>
        <v>0.2</v>
      </c>
      <c r="AN3" s="57">
        <f>(AC3-Model!$B$7)*Model!$B$37</f>
        <v>-0.15</v>
      </c>
      <c r="AO3" s="57">
        <f>(AJ3-Model!$B$8)*Model!$B$38</f>
        <v>-4.962</v>
      </c>
      <c r="AP3" s="57">
        <f t="shared" ref="AP3:AP11" si="2">SUM(AK3:AO3)</f>
        <v>1.5455</v>
      </c>
    </row>
    <row r="4" ht="14.25" customHeight="1">
      <c r="A4" s="30" t="s">
        <v>86</v>
      </c>
      <c r="B4" s="31" t="s">
        <v>87</v>
      </c>
      <c r="C4" s="32">
        <v>-1.0</v>
      </c>
      <c r="D4" s="33">
        <v>0.01</v>
      </c>
      <c r="E4" s="32">
        <v>1.0</v>
      </c>
      <c r="F4" s="32">
        <v>2.0</v>
      </c>
      <c r="G4" s="33">
        <v>-0.2</v>
      </c>
      <c r="H4" s="35"/>
      <c r="I4" s="32">
        <v>-50.0</v>
      </c>
      <c r="J4" s="36"/>
      <c r="K4" s="37">
        <v>0.0</v>
      </c>
      <c r="L4" s="38">
        <v>2500.0</v>
      </c>
      <c r="M4" s="40">
        <v>-0.022</v>
      </c>
      <c r="N4" s="40">
        <v>111.5</v>
      </c>
      <c r="O4" s="40">
        <v>108.5</v>
      </c>
      <c r="P4" s="40">
        <v>1.0</v>
      </c>
      <c r="Q4" s="40">
        <v>0.35</v>
      </c>
      <c r="R4" s="41">
        <v>0.55</v>
      </c>
      <c r="S4" s="42">
        <v>2.5</v>
      </c>
      <c r="T4" s="44">
        <f>MAX(MIN($M4*Model!$A$13+$N4,$O4)*$P4,0)</f>
        <v>108.5</v>
      </c>
      <c r="U4" s="44">
        <f>MAX(MIN($M4*Model!$A$14+$N4,$O4)*$P4,0)</f>
        <v>108.5</v>
      </c>
      <c r="V4" s="44">
        <f>MAX(MIN($M4*Model!$A$15+$N4,$O4)*$P4,0)</f>
        <v>107.1</v>
      </c>
      <c r="W4" s="44">
        <f>MAX(MIN($M4*Model!$A$16+$N4,$O4)*$P4,0)</f>
        <v>104.9</v>
      </c>
      <c r="X4" s="44">
        <f>MAX(MIN($M4*Model!$A$17+$N4,$O4)*$P4,0)</f>
        <v>102.7</v>
      </c>
      <c r="Y4" s="44">
        <f>MAX(MIN($M4*Model!$A$18+$N4,$O4)*$P4,0)</f>
        <v>99.4</v>
      </c>
      <c r="Z4" s="44">
        <f>MAX(MIN($M4*Model!$A$19+$N4,$O4)*$P4,0)</f>
        <v>95</v>
      </c>
      <c r="AA4" s="44">
        <f>T4*Model!$B$13+U4*Model!$B$14+V4*Model!$B$15+W4*Model!$B$16+X4*Model!$B$17+Y4*Model!$B$18+Z4*Model!$B$19</f>
        <v>104.755</v>
      </c>
      <c r="AB4" s="53">
        <v>0.15</v>
      </c>
      <c r="AC4" s="53">
        <v>1.1</v>
      </c>
      <c r="AD4" s="42" t="str">
        <f>CONCATENATE("stat(bullet_velocity;",'7.62x54R-ammo'!$AE4,";",'7.62x54R-ammo'!$AF4,";",'7.62x54R-ammo'!$AG4,";",'7.62x54R-ammo'!$AH4,")")</f>
        <v>stat(bullet_velocity;0.6;1.1;1500;3000)</v>
      </c>
      <c r="AE4" s="54">
        <v>0.6</v>
      </c>
      <c r="AF4" s="54">
        <v>1.1</v>
      </c>
      <c r="AG4" s="55">
        <v>1500.0</v>
      </c>
      <c r="AH4" s="55">
        <v>3000.0</v>
      </c>
      <c r="AI4" s="56">
        <f>Model!$B$4+IF(I4="",0,I4)</f>
        <v>2069</v>
      </c>
      <c r="AJ4" s="44">
        <f t="shared" si="1"/>
        <v>0.7896666667</v>
      </c>
      <c r="AK4" s="57">
        <f>C4*Model!$B$24+D4*Model!$B$25+E4*Model!$B$26+F4*Model!$B$27+G4*Model!$B$28+H4*Model!$B$29+I4*Model!$B$30+J4*Model!$B$31+L4*Model!$B$32+K4*Model!$B$33</f>
        <v>3.55</v>
      </c>
      <c r="AL4" s="57">
        <f>(AA4-Model!$B$5)*Model!$B$35</f>
        <v>2.3775</v>
      </c>
      <c r="AM4" s="57">
        <f>(Model!$B$6-AB4)*Model!$B$36</f>
        <v>0.4</v>
      </c>
      <c r="AN4" s="57">
        <f>(AC4-Model!$B$7)*Model!$B$37</f>
        <v>0.75</v>
      </c>
      <c r="AO4" s="57">
        <f>(AJ4-Model!$B$8)*Model!$B$38</f>
        <v>-1.262</v>
      </c>
      <c r="AP4" s="57">
        <f t="shared" si="2"/>
        <v>5.8155</v>
      </c>
    </row>
    <row r="5" ht="14.25" customHeight="1">
      <c r="A5" s="30" t="s">
        <v>88</v>
      </c>
      <c r="B5" s="31" t="s">
        <v>89</v>
      </c>
      <c r="C5" s="32">
        <v>2.0</v>
      </c>
      <c r="D5" s="33">
        <v>0.0</v>
      </c>
      <c r="E5" s="32">
        <v>-3.0</v>
      </c>
      <c r="F5" s="32">
        <v>-3.0</v>
      </c>
      <c r="G5" s="33">
        <v>0.1</v>
      </c>
      <c r="H5" s="35"/>
      <c r="I5" s="32">
        <v>100.0</v>
      </c>
      <c r="J5" s="36"/>
      <c r="K5" s="37">
        <v>0.0</v>
      </c>
      <c r="L5" s="38">
        <v>1000.0</v>
      </c>
      <c r="M5" s="40">
        <v>-0.026</v>
      </c>
      <c r="N5" s="40">
        <v>111.5</v>
      </c>
      <c r="O5" s="40">
        <v>112.0</v>
      </c>
      <c r="P5" s="40">
        <v>1.0</v>
      </c>
      <c r="Q5" s="40">
        <v>0.3</v>
      </c>
      <c r="R5" s="41">
        <v>0.5</v>
      </c>
      <c r="S5" s="42">
        <v>2.5</v>
      </c>
      <c r="T5" s="44">
        <f>MAX(MIN($M5*Model!$A$13+$N5,$O5)*$P5,0)</f>
        <v>110.2</v>
      </c>
      <c r="U5" s="44">
        <f>MAX(MIN($M5*Model!$A$14+$N5,$O5)*$P5,0)</f>
        <v>108.9</v>
      </c>
      <c r="V5" s="44">
        <f>MAX(MIN($M5*Model!$A$15+$N5,$O5)*$P5,0)</f>
        <v>106.3</v>
      </c>
      <c r="W5" s="44">
        <f>MAX(MIN($M5*Model!$A$16+$N5,$O5)*$P5,0)</f>
        <v>103.7</v>
      </c>
      <c r="X5" s="44">
        <f>MAX(MIN($M5*Model!$A$17+$N5,$O5)*$P5,0)</f>
        <v>101.1</v>
      </c>
      <c r="Y5" s="44">
        <f>MAX(MIN($M5*Model!$A$18+$N5,$O5)*$P5,0)</f>
        <v>97.2</v>
      </c>
      <c r="Z5" s="44">
        <f>MAX(MIN($M5*Model!$A$19+$N5,$O5)*$P5,0)</f>
        <v>92</v>
      </c>
      <c r="AA5" s="44">
        <f>T5*Model!$B$13+U5*Model!$B$14+V5*Model!$B$15+W5*Model!$B$16+X5*Model!$B$17+Y5*Model!$B$18+Z5*Model!$B$19</f>
        <v>103.895</v>
      </c>
      <c r="AB5" s="53">
        <v>0.3</v>
      </c>
      <c r="AC5" s="53">
        <v>1.5</v>
      </c>
      <c r="AD5" s="42" t="str">
        <f>CONCATENATE("stat(bullet_velocity;",'7.62x54R-ammo'!$AE5,";",'7.62x54R-ammo'!$AF5,";",'7.62x54R-ammo'!$AG5,";",'7.62x54R-ammo'!$AH5,")")</f>
        <v>stat(bullet_velocity;0.5;1;1500;3000)</v>
      </c>
      <c r="AE5" s="54">
        <v>0.5</v>
      </c>
      <c r="AF5" s="54">
        <v>1.0</v>
      </c>
      <c r="AG5" s="55">
        <v>1500.0</v>
      </c>
      <c r="AH5" s="55">
        <v>3000.0</v>
      </c>
      <c r="AI5" s="56">
        <f>Model!$B$4+IF(I5="",0,I5)</f>
        <v>2219</v>
      </c>
      <c r="AJ5" s="44">
        <f t="shared" si="1"/>
        <v>0.7396666667</v>
      </c>
      <c r="AK5" s="57">
        <f>C5*Model!$B$24+D5*Model!$B$25+E5*Model!$B$26+F5*Model!$B$27+G5*Model!$B$28+H5*Model!$B$29+I5*Model!$B$30+J5*Model!$B$31+L5*Model!$B$32+K5*Model!$B$33</f>
        <v>1.6</v>
      </c>
      <c r="AL5" s="57">
        <f>(AA5-Model!$B$5)*Model!$B$35</f>
        <v>1.9475</v>
      </c>
      <c r="AM5" s="57">
        <f>(Model!$B$6-AB5)*Model!$B$36</f>
        <v>0.1</v>
      </c>
      <c r="AN5" s="57">
        <f>(AC5-Model!$B$7)*Model!$B$37</f>
        <v>1.95</v>
      </c>
      <c r="AO5" s="57">
        <f>(AJ5-Model!$B$8)*Model!$B$38</f>
        <v>-1.562</v>
      </c>
      <c r="AP5" s="57">
        <f t="shared" si="2"/>
        <v>4.0355</v>
      </c>
    </row>
    <row r="6" ht="14.25" customHeight="1">
      <c r="A6" s="58" t="s">
        <v>90</v>
      </c>
      <c r="B6" s="31" t="s">
        <v>91</v>
      </c>
      <c r="C6" s="32">
        <v>0.0</v>
      </c>
      <c r="D6" s="33">
        <v>0.0</v>
      </c>
      <c r="E6" s="32">
        <v>0.0</v>
      </c>
      <c r="F6" s="32">
        <v>0.0</v>
      </c>
      <c r="G6" s="33">
        <v>0.0</v>
      </c>
      <c r="H6" s="35"/>
      <c r="I6" s="32">
        <v>0.0</v>
      </c>
      <c r="J6" s="36"/>
      <c r="K6" s="37">
        <v>0.0</v>
      </c>
      <c r="L6" s="38">
        <v>0.0</v>
      </c>
      <c r="M6" s="40">
        <v>-0.024</v>
      </c>
      <c r="N6" s="40">
        <v>112.0</v>
      </c>
      <c r="O6" s="40">
        <v>112.0</v>
      </c>
      <c r="P6" s="40">
        <v>1.0</v>
      </c>
      <c r="Q6" s="40">
        <v>0.3</v>
      </c>
      <c r="R6" s="40">
        <v>0.5</v>
      </c>
      <c r="S6" s="42">
        <v>2.5</v>
      </c>
      <c r="T6" s="44">
        <f>MAX(MIN($M6*Model!$A$13+$N6,$O6)*$P6,0)</f>
        <v>110.8</v>
      </c>
      <c r="U6" s="44">
        <f>MAX(MIN($M6*Model!$A$14+$N6,$O6)*$P6,0)</f>
        <v>109.6</v>
      </c>
      <c r="V6" s="44">
        <f>MAX(MIN($M6*Model!$A$15+$N6,$O6)*$P6,0)</f>
        <v>107.2</v>
      </c>
      <c r="W6" s="44">
        <f>MAX(MIN($M6*Model!$A$16+$N6,$O6)*$P6,0)</f>
        <v>104.8</v>
      </c>
      <c r="X6" s="44">
        <f>MAX(MIN($M6*Model!$A$17+$N6,$O6)*$P6,0)</f>
        <v>102.4</v>
      </c>
      <c r="Y6" s="44">
        <f>MAX(MIN($M6*Model!$A$18+$N6,$O6)*$P6,0)</f>
        <v>98.8</v>
      </c>
      <c r="Z6" s="44">
        <f>MAX(MIN($M6*Model!$A$19+$N6,$O6)*$P6,0)</f>
        <v>94</v>
      </c>
      <c r="AA6" s="44">
        <f>T6*Model!$B$13+U6*Model!$B$14+V6*Model!$B$15+W6*Model!$B$16+X6*Model!$B$17+Y6*Model!$B$18+Z6*Model!$B$19</f>
        <v>104.98</v>
      </c>
      <c r="AB6" s="53">
        <v>0.2</v>
      </c>
      <c r="AC6" s="53">
        <v>1.0</v>
      </c>
      <c r="AD6" s="42" t="str">
        <f>CONCATENATE("stat(bullet_velocity;",'7.62x54R-ammo'!$AE6,";",'7.62x54R-ammo'!$AF6,";",'7.62x54R-ammo'!$AG6,";",'7.62x54R-ammo'!$AH6,")")</f>
        <v>stat(bullet_velocity;0.7;1.2;1500;3000)</v>
      </c>
      <c r="AE6" s="54">
        <v>0.7</v>
      </c>
      <c r="AF6" s="54">
        <v>1.2</v>
      </c>
      <c r="AG6" s="55">
        <v>1500.0</v>
      </c>
      <c r="AH6" s="55">
        <v>3000.0</v>
      </c>
      <c r="AI6" s="56">
        <f>Model!$B$4+IF(I6="",0,I6)</f>
        <v>2119</v>
      </c>
      <c r="AJ6" s="44">
        <f t="shared" si="1"/>
        <v>0.9063333333</v>
      </c>
      <c r="AK6" s="57">
        <f>C6*Model!$B$24+D6*Model!$B$25+E6*Model!$B$26+F6*Model!$B$27+G6*Model!$B$28+H6*Model!$B$29+I6*Model!$B$30+J6*Model!$B$31+L6*Model!$B$32+K6*Model!$B$33</f>
        <v>0</v>
      </c>
      <c r="AL6" s="57">
        <f>(AA6-Model!$B$5)*Model!$B$35</f>
        <v>2.49</v>
      </c>
      <c r="AM6" s="57">
        <f>(Model!$B$6-AB6)*Model!$B$36</f>
        <v>0.3</v>
      </c>
      <c r="AN6" s="57">
        <f>(AC6-Model!$B$7)*Model!$B$37</f>
        <v>0.45</v>
      </c>
      <c r="AO6" s="57">
        <f>(AJ6-Model!$B$8)*Model!$B$38</f>
        <v>-0.562</v>
      </c>
      <c r="AP6" s="57">
        <f t="shared" si="2"/>
        <v>2.678</v>
      </c>
    </row>
    <row r="7" ht="14.25" customHeight="1">
      <c r="A7" s="30" t="s">
        <v>92</v>
      </c>
      <c r="B7" s="31" t="s">
        <v>93</v>
      </c>
      <c r="C7" s="32">
        <v>1.0</v>
      </c>
      <c r="D7" s="33">
        <v>0.08</v>
      </c>
      <c r="E7" s="32">
        <v>-2.0</v>
      </c>
      <c r="F7" s="32">
        <v>-1.0</v>
      </c>
      <c r="G7" s="33">
        <v>-0.15</v>
      </c>
      <c r="H7" s="35"/>
      <c r="I7" s="32">
        <v>-150.0</v>
      </c>
      <c r="J7" s="36"/>
      <c r="K7" s="37">
        <v>0.0</v>
      </c>
      <c r="L7" s="38">
        <v>1500.0</v>
      </c>
      <c r="M7" s="40">
        <v>-0.028</v>
      </c>
      <c r="N7" s="40">
        <v>115.5</v>
      </c>
      <c r="O7" s="40">
        <v>115.0</v>
      </c>
      <c r="P7" s="40">
        <v>1.0</v>
      </c>
      <c r="Q7" s="40">
        <v>0.35</v>
      </c>
      <c r="R7" s="41">
        <v>0.55</v>
      </c>
      <c r="S7" s="42">
        <v>2.5</v>
      </c>
      <c r="T7" s="44">
        <f>MAX(MIN($M7*Model!$A$13+$N7,$O7)*$P7,0)</f>
        <v>114.1</v>
      </c>
      <c r="U7" s="44">
        <f>MAX(MIN($M7*Model!$A$14+$N7,$O7)*$P7,0)</f>
        <v>112.7</v>
      </c>
      <c r="V7" s="44">
        <f>MAX(MIN($M7*Model!$A$15+$N7,$O7)*$P7,0)</f>
        <v>109.9</v>
      </c>
      <c r="W7" s="44">
        <f>MAX(MIN($M7*Model!$A$16+$N7,$O7)*$P7,0)</f>
        <v>107.1</v>
      </c>
      <c r="X7" s="44">
        <f>MAX(MIN($M7*Model!$A$17+$N7,$O7)*$P7,0)</f>
        <v>104.3</v>
      </c>
      <c r="Y7" s="44">
        <f>MAX(MIN($M7*Model!$A$18+$N7,$O7)*$P7,0)</f>
        <v>100.1</v>
      </c>
      <c r="Z7" s="44">
        <f>MAX(MIN($M7*Model!$A$19+$N7,$O7)*$P7,0)</f>
        <v>94.5</v>
      </c>
      <c r="AA7" s="44">
        <f>T7*Model!$B$13+U7*Model!$B$14+V7*Model!$B$15+W7*Model!$B$16+X7*Model!$B$17+Y7*Model!$B$18+Z7*Model!$B$19</f>
        <v>107.31</v>
      </c>
      <c r="AB7" s="53">
        <v>0.1</v>
      </c>
      <c r="AC7" s="53">
        <v>0.9</v>
      </c>
      <c r="AD7" s="42" t="str">
        <f>CONCATENATE("stat(bullet_velocity;",'7.62x54R-ammo'!$AE7,";",'7.62x54R-ammo'!$AF7,";",'7.62x54R-ammo'!$AG7,";",'7.62x54R-ammo'!$AH7,")")</f>
        <v>stat(bullet_velocity;0.1;0.6;1500;3000)</v>
      </c>
      <c r="AE7" s="54">
        <v>0.1</v>
      </c>
      <c r="AF7" s="54">
        <v>0.6</v>
      </c>
      <c r="AG7" s="55">
        <v>1500.0</v>
      </c>
      <c r="AH7" s="55">
        <v>3000.0</v>
      </c>
      <c r="AI7" s="56">
        <f>Model!$B$4+IF(I7="",0,I7)</f>
        <v>1969</v>
      </c>
      <c r="AJ7" s="44">
        <f t="shared" si="1"/>
        <v>0.2563333333</v>
      </c>
      <c r="AK7" s="57">
        <f>C7*Model!$B$24+D7*Model!$B$25+E7*Model!$B$26+F7*Model!$B$27+G7*Model!$B$28+H7*Model!$B$29+I7*Model!$B$30+J7*Model!$B$31+L7*Model!$B$32+K7*Model!$B$33</f>
        <v>4.25</v>
      </c>
      <c r="AL7" s="57">
        <f>(AA7-Model!$B$5)*Model!$B$35</f>
        <v>3.655</v>
      </c>
      <c r="AM7" s="57">
        <f>(Model!$B$6-AB7)*Model!$B$36</f>
        <v>0.5</v>
      </c>
      <c r="AN7" s="57">
        <f>(AC7-Model!$B$7)*Model!$B$37</f>
        <v>0.15</v>
      </c>
      <c r="AO7" s="57">
        <f>(AJ7-Model!$B$8)*Model!$B$38</f>
        <v>-4.462</v>
      </c>
      <c r="AP7" s="57">
        <f t="shared" si="2"/>
        <v>4.093</v>
      </c>
    </row>
    <row r="8" ht="14.25" customHeight="1">
      <c r="A8" s="30" t="s">
        <v>94</v>
      </c>
      <c r="B8" s="31" t="s">
        <v>95</v>
      </c>
      <c r="C8" s="32">
        <v>-1.0</v>
      </c>
      <c r="D8" s="33">
        <v>0.01</v>
      </c>
      <c r="E8" s="32">
        <v>2.0</v>
      </c>
      <c r="F8" s="32">
        <v>2.0</v>
      </c>
      <c r="G8" s="33">
        <v>-0.15</v>
      </c>
      <c r="H8" s="35"/>
      <c r="I8" s="32">
        <v>-50.0</v>
      </c>
      <c r="J8" s="36"/>
      <c r="K8" s="37">
        <v>0.0</v>
      </c>
      <c r="L8" s="38">
        <v>4000.0</v>
      </c>
      <c r="M8" s="40">
        <v>-0.014</v>
      </c>
      <c r="N8" s="40">
        <v>106.0</v>
      </c>
      <c r="O8" s="40">
        <v>105.0</v>
      </c>
      <c r="P8" s="40">
        <v>1.0</v>
      </c>
      <c r="Q8" s="40">
        <v>0.25</v>
      </c>
      <c r="R8" s="40">
        <v>0.45</v>
      </c>
      <c r="S8" s="42">
        <v>2.5</v>
      </c>
      <c r="T8" s="44">
        <f>MAX(MIN($M8*Model!$A$13+$N8,$O8)*$P8,0)</f>
        <v>105</v>
      </c>
      <c r="U8" s="44">
        <f>MAX(MIN($M8*Model!$A$14+$N8,$O8)*$P8,0)</f>
        <v>104.6</v>
      </c>
      <c r="V8" s="44">
        <f>MAX(MIN($M8*Model!$A$15+$N8,$O8)*$P8,0)</f>
        <v>103.2</v>
      </c>
      <c r="W8" s="44">
        <f>MAX(MIN($M8*Model!$A$16+$N8,$O8)*$P8,0)</f>
        <v>101.8</v>
      </c>
      <c r="X8" s="44">
        <f>MAX(MIN($M8*Model!$A$17+$N8,$O8)*$P8,0)</f>
        <v>100.4</v>
      </c>
      <c r="Y8" s="44">
        <f>MAX(MIN($M8*Model!$A$18+$N8,$O8)*$P8,0)</f>
        <v>98.3</v>
      </c>
      <c r="Z8" s="44">
        <f>MAX(MIN($M8*Model!$A$19+$N8,$O8)*$P8,0)</f>
        <v>95.5</v>
      </c>
      <c r="AA8" s="44">
        <f>T8*Model!$B$13+U8*Model!$B$14+V8*Model!$B$15+W8*Model!$B$16+X8*Model!$B$17+Y8*Model!$B$18+Z8*Model!$B$19</f>
        <v>101.875</v>
      </c>
      <c r="AB8" s="53">
        <v>0.15</v>
      </c>
      <c r="AC8" s="53">
        <v>0.95</v>
      </c>
      <c r="AD8" s="42" t="str">
        <f>CONCATENATE("stat(bullet_velocity;",'7.62x54R-ammo'!$AE8,";",'7.62x54R-ammo'!$AF8,";",'7.62x54R-ammo'!$AG8,";",'7.62x54R-ammo'!$AH8,")")</f>
        <v>stat(bullet_velocity;1.4;1.9;1500;3000)</v>
      </c>
      <c r="AE8" s="54">
        <v>1.4</v>
      </c>
      <c r="AF8" s="54">
        <v>1.9</v>
      </c>
      <c r="AG8" s="55">
        <v>1500.0</v>
      </c>
      <c r="AH8" s="55">
        <v>3000.0</v>
      </c>
      <c r="AI8" s="56">
        <f>Model!$B$4+IF(I8="",0,I8)</f>
        <v>2069</v>
      </c>
      <c r="AJ8" s="44">
        <f t="shared" si="1"/>
        <v>1.589666667</v>
      </c>
      <c r="AK8" s="57">
        <f>C8*Model!$B$24+D8*Model!$B$25+E8*Model!$B$26+F8*Model!$B$27+G8*Model!$B$28+H8*Model!$B$29+I8*Model!$B$30+J8*Model!$B$31+L8*Model!$B$32+K8*Model!$B$33</f>
        <v>1.65</v>
      </c>
      <c r="AL8" s="57">
        <f>(AA8-Model!$B$5)*Model!$B$35</f>
        <v>0.9375</v>
      </c>
      <c r="AM8" s="57">
        <f>(Model!$B$6-AB8)*Model!$B$36</f>
        <v>0.4</v>
      </c>
      <c r="AN8" s="57">
        <f>(AC8-Model!$B$7)*Model!$B$37</f>
        <v>0.3</v>
      </c>
      <c r="AO8" s="57">
        <f>(AJ8-Model!$B$8)*Model!$B$38</f>
        <v>3.538</v>
      </c>
      <c r="AP8" s="57">
        <f t="shared" si="2"/>
        <v>6.8255</v>
      </c>
    </row>
    <row r="9" ht="14.25" customHeight="1">
      <c r="A9" s="30" t="s">
        <v>96</v>
      </c>
      <c r="B9" s="31" t="s">
        <v>97</v>
      </c>
      <c r="C9" s="32">
        <v>-2.0</v>
      </c>
      <c r="D9" s="33">
        <v>0.08</v>
      </c>
      <c r="E9" s="32">
        <v>3.0</v>
      </c>
      <c r="F9" s="32">
        <v>7.0</v>
      </c>
      <c r="G9" s="33">
        <v>-0.1</v>
      </c>
      <c r="H9" s="59"/>
      <c r="I9" s="32">
        <v>200.0</v>
      </c>
      <c r="J9" s="60"/>
      <c r="K9" s="37">
        <v>0.0</v>
      </c>
      <c r="L9" s="38">
        <v>5000.0</v>
      </c>
      <c r="M9" s="40">
        <v>-0.012</v>
      </c>
      <c r="N9" s="40">
        <v>104.5</v>
      </c>
      <c r="O9" s="40">
        <v>102.5</v>
      </c>
      <c r="P9" s="40">
        <v>1.0</v>
      </c>
      <c r="Q9" s="40">
        <v>0.2</v>
      </c>
      <c r="R9" s="40">
        <v>0.4</v>
      </c>
      <c r="S9" s="61">
        <v>2.5</v>
      </c>
      <c r="T9" s="62">
        <f>MAX(MIN($M9*Model!$A$13+$N9,$O9)*$P9,0)</f>
        <v>102.5</v>
      </c>
      <c r="U9" s="62">
        <f>MAX(MIN($M9*Model!$A$14+$N9,$O9)*$P9,0)</f>
        <v>102.5</v>
      </c>
      <c r="V9" s="62">
        <f>MAX(MIN($M9*Model!$A$15+$N9,$O9)*$P9,0)</f>
        <v>102.1</v>
      </c>
      <c r="W9" s="62">
        <f>MAX(MIN($M9*Model!$A$16+$N9,$O9)*$P9,0)</f>
        <v>100.9</v>
      </c>
      <c r="X9" s="62">
        <f>MAX(MIN($M9*Model!$A$17+$N9,$O9)*$P9,0)</f>
        <v>99.7</v>
      </c>
      <c r="Y9" s="62">
        <f>MAX(MIN($M9*Model!$A$18+$N9,$O9)*$P9,0)</f>
        <v>97.9</v>
      </c>
      <c r="Z9" s="62">
        <f>MAX(MIN($M9*Model!$A$19+$N9,$O9)*$P9,0)</f>
        <v>95.5</v>
      </c>
      <c r="AA9" s="62">
        <f>T9*Model!$B$13+U9*Model!$B$14+V9*Model!$B$15+W9*Model!$B$16+X9*Model!$B$17+Y9*Model!$B$18+Z9*Model!$B$19</f>
        <v>100.73</v>
      </c>
      <c r="AB9" s="53">
        <v>0.3</v>
      </c>
      <c r="AC9" s="53">
        <v>1.2</v>
      </c>
      <c r="AD9" s="61" t="str">
        <f>CONCATENATE("stat(bullet_velocity;",'7.62x54R-ammo'!$AE9,";",'7.62x54R-ammo'!$AF9,";",'7.62x54R-ammo'!$AG9,";",'7.62x54R-ammo'!$AH9,")")</f>
        <v>stat(bullet_velocity;1.9;2.4;1500;3000)</v>
      </c>
      <c r="AE9" s="54">
        <v>1.9</v>
      </c>
      <c r="AF9" s="54">
        <v>2.4</v>
      </c>
      <c r="AG9" s="63">
        <v>1500.0</v>
      </c>
      <c r="AH9" s="63">
        <v>3000.0</v>
      </c>
      <c r="AI9" s="64">
        <f>Model!$B$4+IF(I9="",0,I9)</f>
        <v>2319</v>
      </c>
      <c r="AJ9" s="62">
        <f t="shared" si="1"/>
        <v>2.173</v>
      </c>
      <c r="AK9" s="57">
        <f>C9*Model!$B$24+D9*Model!$B$25+E9*Model!$B$26+F9*Model!$B$27+G9*Model!$B$28+H9*Model!$B$29+I9*Model!$B$30+J9*Model!$B$31+L9*Model!$B$32+K9*Model!$B$33</f>
        <v>-2.9</v>
      </c>
      <c r="AL9" s="65">
        <f>(AA9-Model!$B$5)*Model!$B$35</f>
        <v>0.365</v>
      </c>
      <c r="AM9" s="65">
        <f>(Model!$B$6-AB9)*Model!$B$36</f>
        <v>0.1</v>
      </c>
      <c r="AN9" s="65">
        <f>(AC9-Model!$B$7)*Model!$B$37</f>
        <v>1.05</v>
      </c>
      <c r="AO9" s="65">
        <f>(AJ9-Model!$B$8)*Model!$B$38</f>
        <v>7.038</v>
      </c>
      <c r="AP9" s="65">
        <f t="shared" si="2"/>
        <v>5.653</v>
      </c>
    </row>
    <row r="10" ht="14.25" customHeight="1">
      <c r="A10" s="30" t="s">
        <v>98</v>
      </c>
      <c r="B10" s="31" t="s">
        <v>99</v>
      </c>
      <c r="C10" s="32">
        <v>-2.0</v>
      </c>
      <c r="D10" s="33">
        <v>0.02</v>
      </c>
      <c r="E10" s="32">
        <v>2.0</v>
      </c>
      <c r="F10" s="32">
        <v>3.0</v>
      </c>
      <c r="G10" s="33">
        <v>0.05</v>
      </c>
      <c r="H10" s="35"/>
      <c r="I10" s="32">
        <v>0.0</v>
      </c>
      <c r="J10" s="37"/>
      <c r="K10" s="37">
        <v>0.0</v>
      </c>
      <c r="L10" s="38">
        <v>3000.0</v>
      </c>
      <c r="M10" s="40">
        <v>-0.018</v>
      </c>
      <c r="N10" s="40">
        <v>105.5</v>
      </c>
      <c r="O10" s="40">
        <v>104.0</v>
      </c>
      <c r="P10" s="40">
        <v>1.0</v>
      </c>
      <c r="Q10" s="40">
        <v>0.25</v>
      </c>
      <c r="R10" s="40">
        <v>0.45</v>
      </c>
      <c r="S10" s="42">
        <v>2.5</v>
      </c>
      <c r="T10" s="44">
        <f>MAX(MIN($M10*Model!$A$13+$N10,$O10)*$P10,0)</f>
        <v>104</v>
      </c>
      <c r="U10" s="44">
        <f>MAX(MIN($M10*Model!$A$14+$N10,$O10)*$P10,0)</f>
        <v>103.7</v>
      </c>
      <c r="V10" s="44">
        <f>MAX(MIN($M10*Model!$A$15+$N10,$O10)*$P10,0)</f>
        <v>101.9</v>
      </c>
      <c r="W10" s="44">
        <f>MAX(MIN($M10*Model!$A$16+$N10,$O10)*$P10,0)</f>
        <v>100.1</v>
      </c>
      <c r="X10" s="44">
        <f>MAX(MIN($M10*Model!$A$17+$N10,$O10)*$P10,0)</f>
        <v>98.3</v>
      </c>
      <c r="Y10" s="44">
        <f>MAX(MIN($M10*Model!$A$18+$N10,$O10)*$P10,0)</f>
        <v>95.6</v>
      </c>
      <c r="Z10" s="44">
        <f>MAX(MIN($M10*Model!$A$19+$N10,$O10)*$P10,0)</f>
        <v>92</v>
      </c>
      <c r="AA10" s="44">
        <f>T10*Model!$B$13+U10*Model!$B$14+V10*Model!$B$15+W10*Model!$B$16+X10*Model!$B$17+Y10*Model!$B$18+Z10*Model!$B$19</f>
        <v>100.175</v>
      </c>
      <c r="AB10" s="53">
        <v>0.2</v>
      </c>
      <c r="AC10" s="53">
        <v>1.0</v>
      </c>
      <c r="AD10" s="42" t="str">
        <f>CONCATENATE("stat(bullet_velocity;",'7.62x54R-ammo'!$AE10,";",'7.62x54R-ammo'!$AF10,";",'7.62x54R-ammo'!$AG10,";",'7.62x54R-ammo'!$AH10,")")</f>
        <v>stat(bullet_velocity;1.1;1.6;1500;3000)</v>
      </c>
      <c r="AE10" s="54">
        <v>1.1</v>
      </c>
      <c r="AF10" s="54">
        <v>1.6</v>
      </c>
      <c r="AG10" s="55">
        <v>1500.0</v>
      </c>
      <c r="AH10" s="55">
        <v>3000.0</v>
      </c>
      <c r="AI10" s="56">
        <f>Model!$B$4+IF(I10="",0,I10)</f>
        <v>2119</v>
      </c>
      <c r="AJ10" s="44">
        <f t="shared" si="1"/>
        <v>1.306333333</v>
      </c>
      <c r="AK10" s="57">
        <f>C10*Model!$B$24+D10*Model!$B$25+E10*Model!$B$26+F10*Model!$B$27+G10*Model!$B$28+H10*Model!$B$29+I10*Model!$B$30+J10*Model!$B$31+L10*Model!$B$32+K10*Model!$B$33</f>
        <v>-5.6</v>
      </c>
      <c r="AL10" s="57">
        <f>(AA10-Model!$B$5)*Model!$B$35</f>
        <v>0.0875</v>
      </c>
      <c r="AM10" s="57">
        <f>(Model!$B$6-AB10)*Model!$B$36</f>
        <v>0.3</v>
      </c>
      <c r="AN10" s="57">
        <f>(AC10-Model!$B$7)*Model!$B$37</f>
        <v>0.45</v>
      </c>
      <c r="AO10" s="57">
        <f>(AJ10-Model!$B$8)*Model!$B$38</f>
        <v>1.838</v>
      </c>
      <c r="AP10" s="57">
        <f t="shared" si="2"/>
        <v>-2.9245</v>
      </c>
    </row>
    <row r="11" ht="14.25" customHeight="1">
      <c r="A11" s="30" t="s">
        <v>100</v>
      </c>
      <c r="B11" s="31" t="s">
        <v>101</v>
      </c>
      <c r="C11" s="32">
        <v>3.0</v>
      </c>
      <c r="D11" s="33">
        <v>0.14</v>
      </c>
      <c r="E11" s="32">
        <v>-3.0</v>
      </c>
      <c r="F11" s="32">
        <v>-3.0</v>
      </c>
      <c r="G11" s="33">
        <v>0.05</v>
      </c>
      <c r="H11" s="35"/>
      <c r="I11" s="32">
        <v>-950.0</v>
      </c>
      <c r="J11" s="37"/>
      <c r="K11" s="37">
        <v>-0.6</v>
      </c>
      <c r="L11" s="38">
        <v>2500.0</v>
      </c>
      <c r="M11" s="40">
        <v>-0.028</v>
      </c>
      <c r="N11" s="66">
        <v>111.0</v>
      </c>
      <c r="O11" s="66">
        <v>111.0</v>
      </c>
      <c r="P11" s="40">
        <v>1.0</v>
      </c>
      <c r="Q11" s="40">
        <v>0.3</v>
      </c>
      <c r="R11" s="40">
        <v>0.5</v>
      </c>
      <c r="S11" s="42">
        <v>2.5</v>
      </c>
      <c r="T11" s="44">
        <f>MAX(MIN($M11*Model!$A$13+$N11,$O11)*$P11,0)</f>
        <v>109.6</v>
      </c>
      <c r="U11" s="44">
        <f>MAX(MIN($M11*Model!$A$14+$N11,$O11)*$P11,0)</f>
        <v>108.2</v>
      </c>
      <c r="V11" s="44">
        <f>MAX(MIN($M11*Model!$A$15+$N11,$O11)*$P11,0)</f>
        <v>105.4</v>
      </c>
      <c r="W11" s="44">
        <f>MAX(MIN($M11*Model!$A$16+$N11,$O11)*$P11,0)</f>
        <v>102.6</v>
      </c>
      <c r="X11" s="44">
        <f>MAX(MIN($M11*Model!$A$17+$N11,$O11)*$P11,0)</f>
        <v>99.8</v>
      </c>
      <c r="Y11" s="44">
        <f>MAX(MIN($M11*Model!$A$18+$N11,$O11)*$P11,0)</f>
        <v>95.6</v>
      </c>
      <c r="Z11" s="44">
        <f>MAX(MIN($M11*Model!$A$19+$N11,$O11)*$P11,0)</f>
        <v>90</v>
      </c>
      <c r="AA11" s="44">
        <f>T11*Model!$B$13+U11*Model!$B$14+V11*Model!$B$15+W11*Model!$B$16+X11*Model!$B$17+Y11*Model!$B$18+Z11*Model!$B$19</f>
        <v>102.81</v>
      </c>
      <c r="AB11" s="53">
        <v>0.7</v>
      </c>
      <c r="AC11" s="53">
        <v>0.25</v>
      </c>
      <c r="AD11" s="42" t="str">
        <f>CONCATENATE("stat(bullet_velocity;",'7.62x54R-ammo'!$AE11,";",'7.62x54R-ammo'!$AF11,";",'7.62x54R-ammo'!$AG11,";",'7.62x54R-ammo'!$AH11,")")</f>
        <v>stat(bullet_velocity;0.3;0.7;1500;3000)</v>
      </c>
      <c r="AE11" s="54">
        <v>0.3</v>
      </c>
      <c r="AF11" s="54">
        <v>0.7</v>
      </c>
      <c r="AG11" s="55">
        <v>1500.0</v>
      </c>
      <c r="AH11" s="55">
        <v>3000.0</v>
      </c>
      <c r="AI11" s="56">
        <f>Model!$B$4+IF(I11="",0,I11)</f>
        <v>1169</v>
      </c>
      <c r="AJ11" s="44">
        <f t="shared" si="1"/>
        <v>0.3</v>
      </c>
      <c r="AK11" s="57">
        <f>C11*Model!$B$24+D11*Model!$B$25+E11*Model!$B$26+F11*Model!$B$27+G11*Model!$B$28+H11*Model!$B$29+I11*Model!$B$30+J11*Model!$B$31+L11*Model!$B$32+K11*Model!$B$33</f>
        <v>2.05</v>
      </c>
      <c r="AL11" s="57">
        <f>(AA11-Model!$B$5)*Model!$B$35</f>
        <v>1.405</v>
      </c>
      <c r="AM11" s="57">
        <f>(Model!$B$6-AB11)*Model!$B$36</f>
        <v>-0.7</v>
      </c>
      <c r="AN11" s="57">
        <f>(AC11-Model!$B$7)*Model!$B$37</f>
        <v>-1.8</v>
      </c>
      <c r="AO11" s="57">
        <f>(AJ11-Model!$B$8)*Model!$B$38</f>
        <v>-4.2</v>
      </c>
      <c r="AP11" s="57">
        <f t="shared" si="2"/>
        <v>-3.245</v>
      </c>
    </row>
    <row r="12" ht="14.25" customHeight="1">
      <c r="A12" s="67"/>
      <c r="B12" s="68"/>
      <c r="C12" s="69"/>
      <c r="D12" s="70"/>
      <c r="E12" s="69"/>
      <c r="F12" s="69"/>
      <c r="G12" s="70"/>
      <c r="H12" s="71"/>
      <c r="I12" s="69"/>
      <c r="J12" s="72"/>
      <c r="K12" s="72"/>
      <c r="L12" s="73"/>
      <c r="M12" s="74"/>
      <c r="N12" s="74"/>
      <c r="O12" s="74"/>
      <c r="P12" s="74"/>
      <c r="Q12" s="74"/>
      <c r="R12" s="74"/>
      <c r="S12" s="74"/>
      <c r="T12" s="72"/>
      <c r="U12" s="72"/>
      <c r="V12" s="72"/>
      <c r="W12" s="72"/>
      <c r="X12" s="72"/>
      <c r="Y12" s="72"/>
      <c r="Z12" s="72"/>
      <c r="AA12" s="72"/>
      <c r="AB12" s="75"/>
      <c r="AC12" s="75"/>
      <c r="AD12" s="76"/>
      <c r="AE12" s="70"/>
      <c r="AF12" s="70"/>
      <c r="AG12" s="77"/>
      <c r="AH12" s="77"/>
      <c r="AI12" s="77"/>
      <c r="AJ12" s="72"/>
      <c r="AK12" s="72"/>
      <c r="AL12" s="72"/>
      <c r="AM12" s="72"/>
      <c r="AN12" s="72"/>
      <c r="AO12" s="72"/>
      <c r="AP12" s="72"/>
    </row>
    <row r="13" ht="14.25" customHeight="1">
      <c r="A13" s="78"/>
      <c r="B13" s="79"/>
      <c r="C13" s="80"/>
      <c r="D13" s="80"/>
      <c r="E13" s="80"/>
      <c r="F13" s="80"/>
      <c r="G13" s="73"/>
      <c r="H13" s="81"/>
      <c r="I13" s="73"/>
      <c r="J13" s="73"/>
      <c r="K13" s="73"/>
      <c r="L13" s="73"/>
      <c r="M13" s="82"/>
      <c r="N13" s="82"/>
      <c r="O13" s="82"/>
      <c r="P13" s="82"/>
      <c r="Q13" s="82"/>
      <c r="R13" s="83"/>
      <c r="S13" s="81"/>
      <c r="T13" s="81"/>
      <c r="U13" s="81"/>
      <c r="V13" s="81"/>
      <c r="W13" s="81"/>
      <c r="X13" s="81"/>
      <c r="Y13" s="81"/>
      <c r="Z13" s="81"/>
      <c r="AA13" s="81"/>
      <c r="AB13" s="82"/>
      <c r="AC13" s="82"/>
      <c r="AD13" s="81"/>
      <c r="AE13" s="80"/>
      <c r="AF13" s="80"/>
      <c r="AG13" s="81"/>
      <c r="AH13" s="81"/>
      <c r="AI13" s="81"/>
      <c r="AJ13" s="81"/>
      <c r="AK13" s="81"/>
      <c r="AL13" s="81"/>
      <c r="AM13" s="81"/>
      <c r="AN13" s="81"/>
      <c r="AO13" s="80"/>
      <c r="AP13" s="81"/>
    </row>
    <row r="14" ht="14.25" customHeight="1">
      <c r="A14" s="78"/>
      <c r="B14" s="79"/>
      <c r="C14" s="80"/>
      <c r="D14" s="80"/>
      <c r="E14" s="80"/>
      <c r="F14" s="73"/>
      <c r="G14" s="80"/>
      <c r="H14" s="81"/>
      <c r="I14" s="73"/>
      <c r="J14" s="73"/>
      <c r="K14" s="73"/>
      <c r="L14" s="80"/>
      <c r="M14" s="82"/>
      <c r="N14" s="74"/>
      <c r="O14" s="82"/>
      <c r="P14" s="82"/>
      <c r="Q14" s="82"/>
      <c r="R14" s="83"/>
      <c r="S14" s="81"/>
      <c r="T14" s="81"/>
      <c r="U14" s="81"/>
      <c r="V14" s="81"/>
      <c r="W14" s="81"/>
      <c r="X14" s="81"/>
      <c r="Y14" s="81"/>
      <c r="Z14" s="81"/>
      <c r="AA14" s="81"/>
      <c r="AB14" s="82"/>
      <c r="AC14" s="82"/>
      <c r="AD14" s="81"/>
      <c r="AE14" s="80"/>
      <c r="AF14" s="80"/>
      <c r="AG14" s="81"/>
      <c r="AH14" s="81"/>
      <c r="AI14" s="81"/>
      <c r="AJ14" s="81"/>
      <c r="AK14" s="81"/>
      <c r="AL14" s="81"/>
      <c r="AM14" s="81"/>
      <c r="AN14" s="81"/>
      <c r="AO14" s="80"/>
      <c r="AP14" s="81"/>
    </row>
    <row r="15" ht="14.25" customHeight="1">
      <c r="A15" s="78"/>
      <c r="B15" s="79"/>
      <c r="C15" s="80"/>
      <c r="D15" s="80"/>
      <c r="E15" s="80"/>
      <c r="F15" s="73"/>
      <c r="G15" s="80"/>
      <c r="H15" s="81"/>
      <c r="I15" s="73"/>
      <c r="J15" s="73"/>
      <c r="K15" s="73"/>
      <c r="L15" s="80"/>
      <c r="M15" s="82"/>
      <c r="N15" s="74"/>
      <c r="O15" s="82"/>
      <c r="P15" s="82"/>
      <c r="Q15" s="82"/>
      <c r="R15" s="83"/>
      <c r="S15" s="81"/>
      <c r="T15" s="81"/>
      <c r="U15" s="81"/>
      <c r="V15" s="81"/>
      <c r="W15" s="81"/>
      <c r="X15" s="81"/>
      <c r="Y15" s="81"/>
      <c r="Z15" s="81"/>
      <c r="AA15" s="81"/>
      <c r="AB15" s="82"/>
      <c r="AC15" s="84"/>
      <c r="AD15" s="81"/>
      <c r="AE15" s="80"/>
      <c r="AF15" s="80"/>
      <c r="AG15" s="81"/>
      <c r="AH15" s="81"/>
      <c r="AI15" s="81"/>
      <c r="AJ15" s="81"/>
      <c r="AK15" s="81"/>
      <c r="AL15" s="81"/>
      <c r="AM15" s="81"/>
      <c r="AN15" s="81"/>
      <c r="AO15" s="80"/>
      <c r="AP15" s="81"/>
    </row>
    <row r="16" ht="14.25" customHeight="1">
      <c r="A16" s="78"/>
      <c r="B16" s="79"/>
      <c r="C16" s="80"/>
      <c r="D16" s="80"/>
      <c r="E16" s="80"/>
      <c r="F16" s="73"/>
      <c r="G16" s="80"/>
      <c r="H16" s="81"/>
      <c r="I16" s="80"/>
      <c r="J16" s="73"/>
      <c r="K16" s="73"/>
      <c r="L16" s="80"/>
      <c r="M16" s="82"/>
      <c r="N16" s="74"/>
      <c r="O16" s="82"/>
      <c r="P16" s="82"/>
      <c r="Q16" s="82"/>
      <c r="R16" s="83"/>
      <c r="S16" s="81"/>
      <c r="T16" s="81"/>
      <c r="U16" s="81"/>
      <c r="V16" s="81"/>
      <c r="W16" s="81"/>
      <c r="X16" s="81"/>
      <c r="Y16" s="81"/>
      <c r="Z16" s="81"/>
      <c r="AA16" s="81"/>
      <c r="AB16" s="82"/>
      <c r="AC16" s="84"/>
      <c r="AD16" s="81"/>
      <c r="AE16" s="80"/>
      <c r="AF16" s="80"/>
      <c r="AG16" s="81"/>
      <c r="AH16" s="81"/>
      <c r="AI16" s="81"/>
      <c r="AJ16" s="81"/>
      <c r="AK16" s="81"/>
      <c r="AL16" s="81"/>
      <c r="AM16" s="81"/>
      <c r="AN16" s="81"/>
      <c r="AO16" s="80"/>
      <c r="AP16" s="81"/>
    </row>
    <row r="17" ht="14.25" customHeight="1">
      <c r="A17" s="78"/>
      <c r="B17" s="79"/>
      <c r="C17" s="80"/>
      <c r="D17" s="80"/>
      <c r="E17" s="80"/>
      <c r="F17" s="73"/>
      <c r="G17" s="80"/>
      <c r="H17" s="81"/>
      <c r="I17" s="80"/>
      <c r="J17" s="80"/>
      <c r="K17" s="80"/>
      <c r="L17" s="80"/>
      <c r="M17" s="82"/>
      <c r="N17" s="82"/>
      <c r="O17" s="82"/>
      <c r="P17" s="82"/>
      <c r="Q17" s="82"/>
      <c r="R17" s="83"/>
      <c r="S17" s="81"/>
      <c r="T17" s="81"/>
      <c r="U17" s="81"/>
      <c r="V17" s="81"/>
      <c r="W17" s="81"/>
      <c r="X17" s="81"/>
      <c r="Y17" s="81"/>
      <c r="Z17" s="81"/>
      <c r="AA17" s="81"/>
      <c r="AB17" s="82"/>
      <c r="AC17" s="84"/>
      <c r="AD17" s="81"/>
      <c r="AE17" s="80"/>
      <c r="AF17" s="80"/>
      <c r="AG17" s="81"/>
      <c r="AH17" s="81"/>
      <c r="AI17" s="81"/>
      <c r="AJ17" s="81"/>
      <c r="AK17" s="81"/>
      <c r="AL17" s="81"/>
      <c r="AM17" s="81"/>
      <c r="AN17" s="81"/>
      <c r="AO17" s="80"/>
      <c r="AP17" s="81"/>
    </row>
    <row r="18" ht="14.25" customHeight="1">
      <c r="A18" s="78"/>
      <c r="B18" s="79"/>
      <c r="C18" s="80"/>
      <c r="D18" s="85"/>
      <c r="E18" s="80"/>
      <c r="F18" s="73"/>
      <c r="G18" s="80"/>
      <c r="H18" s="81"/>
      <c r="I18" s="80"/>
      <c r="J18" s="80"/>
      <c r="K18" s="80"/>
      <c r="L18" s="80"/>
      <c r="M18" s="82"/>
      <c r="N18" s="82"/>
      <c r="O18" s="82"/>
      <c r="P18" s="82"/>
      <c r="Q18" s="82"/>
      <c r="R18" s="83"/>
      <c r="S18" s="81"/>
      <c r="T18" s="81"/>
      <c r="U18" s="81"/>
      <c r="V18" s="81"/>
      <c r="W18" s="81"/>
      <c r="X18" s="81"/>
      <c r="Y18" s="81"/>
      <c r="Z18" s="81"/>
      <c r="AA18" s="81"/>
      <c r="AB18" s="82"/>
      <c r="AC18" s="84"/>
      <c r="AD18" s="81"/>
      <c r="AE18" s="80"/>
      <c r="AF18" s="80"/>
      <c r="AG18" s="81"/>
      <c r="AH18" s="81"/>
      <c r="AI18" s="81"/>
      <c r="AJ18" s="81"/>
      <c r="AK18" s="81"/>
      <c r="AL18" s="81"/>
      <c r="AM18" s="81"/>
      <c r="AN18" s="81"/>
      <c r="AO18" s="80"/>
      <c r="AP18" s="81"/>
    </row>
    <row r="19" ht="14.25" customHeight="1">
      <c r="A19" s="78"/>
      <c r="B19" s="79"/>
      <c r="C19" s="80"/>
      <c r="D19" s="86"/>
      <c r="E19" s="80"/>
      <c r="F19" s="80"/>
      <c r="G19" s="80"/>
      <c r="H19" s="73"/>
      <c r="I19" s="80"/>
      <c r="J19" s="80"/>
      <c r="K19" s="80"/>
      <c r="L19" s="80"/>
      <c r="M19" s="82"/>
      <c r="N19" s="82"/>
      <c r="O19" s="82"/>
      <c r="P19" s="82"/>
      <c r="Q19" s="82"/>
      <c r="R19" s="83"/>
      <c r="S19" s="81"/>
      <c r="T19" s="81"/>
      <c r="U19" s="81"/>
      <c r="V19" s="81"/>
      <c r="W19" s="81"/>
      <c r="X19" s="81"/>
      <c r="Y19" s="81"/>
      <c r="Z19" s="81"/>
      <c r="AA19" s="81"/>
      <c r="AB19" s="82"/>
      <c r="AC19" s="84"/>
      <c r="AD19" s="81"/>
      <c r="AE19" s="80"/>
      <c r="AF19" s="80"/>
      <c r="AG19" s="81"/>
      <c r="AH19" s="81"/>
      <c r="AI19" s="81"/>
      <c r="AJ19" s="81"/>
      <c r="AK19" s="81"/>
      <c r="AL19" s="81"/>
      <c r="AM19" s="81"/>
      <c r="AN19" s="81"/>
      <c r="AO19" s="80"/>
      <c r="AP19" s="81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>
      <c r="A37" s="87"/>
    </row>
    <row r="38" ht="14.25" customHeight="1">
      <c r="A38" s="30"/>
      <c r="B38" s="31"/>
      <c r="C38" s="32"/>
      <c r="D38" s="33"/>
      <c r="E38" s="32"/>
      <c r="F38" s="32"/>
      <c r="G38" s="33"/>
      <c r="H38" s="35"/>
      <c r="I38" s="32"/>
      <c r="J38" s="36"/>
      <c r="K38" s="37"/>
      <c r="L38" s="38"/>
      <c r="M38" s="66"/>
      <c r="N38" s="40"/>
      <c r="O38" s="40"/>
      <c r="P38" s="40"/>
      <c r="Q38" s="40"/>
      <c r="R38" s="41"/>
      <c r="S38" s="42"/>
      <c r="T38" s="44"/>
      <c r="U38" s="44"/>
      <c r="V38" s="44"/>
      <c r="W38" s="44"/>
      <c r="X38" s="44"/>
      <c r="Y38" s="44"/>
      <c r="Z38" s="44"/>
      <c r="AA38" s="44"/>
      <c r="AB38" s="53"/>
      <c r="AC38" s="53"/>
      <c r="AD38" s="42"/>
      <c r="AE38" s="54"/>
      <c r="AF38" s="54"/>
      <c r="AG38" s="55"/>
      <c r="AH38" s="55"/>
      <c r="AI38" s="56"/>
      <c r="AJ38" s="44"/>
      <c r="AK38" s="57"/>
      <c r="AL38" s="57"/>
      <c r="AM38" s="57"/>
      <c r="AN38" s="57"/>
      <c r="AO38" s="57"/>
      <c r="AP38" s="57"/>
    </row>
    <row r="39" ht="14.25" customHeight="1">
      <c r="A39" s="30"/>
      <c r="B39" s="31"/>
      <c r="C39" s="32"/>
      <c r="D39" s="33"/>
      <c r="E39" s="32"/>
      <c r="F39" s="32"/>
      <c r="G39" s="33"/>
      <c r="H39" s="35"/>
      <c r="I39" s="32"/>
      <c r="J39" s="36"/>
      <c r="K39" s="37"/>
      <c r="L39" s="38"/>
      <c r="M39" s="40"/>
      <c r="N39" s="40"/>
      <c r="O39" s="66"/>
      <c r="P39" s="40"/>
      <c r="Q39" s="40"/>
      <c r="R39" s="41"/>
      <c r="S39" s="42"/>
      <c r="T39" s="44"/>
      <c r="U39" s="44"/>
      <c r="V39" s="44"/>
      <c r="W39" s="44"/>
      <c r="X39" s="44"/>
      <c r="Y39" s="44"/>
      <c r="Z39" s="44"/>
      <c r="AA39" s="44"/>
      <c r="AB39" s="53"/>
      <c r="AC39" s="53"/>
      <c r="AD39" s="42"/>
      <c r="AE39" s="54"/>
      <c r="AF39" s="54"/>
      <c r="AG39" s="55"/>
      <c r="AH39" s="55"/>
      <c r="AI39" s="56"/>
      <c r="AJ39" s="44"/>
      <c r="AK39" s="57"/>
      <c r="AL39" s="57"/>
      <c r="AM39" s="57"/>
      <c r="AN39" s="57"/>
      <c r="AO39" s="57"/>
      <c r="AP39" s="57"/>
    </row>
    <row r="40" ht="14.25" customHeight="1">
      <c r="A40" s="88"/>
      <c r="B40" s="31"/>
      <c r="C40" s="32"/>
      <c r="D40" s="33"/>
      <c r="E40" s="32"/>
      <c r="F40" s="32"/>
      <c r="G40" s="33"/>
      <c r="H40" s="35"/>
      <c r="I40" s="32"/>
      <c r="J40" s="36"/>
      <c r="K40" s="37"/>
      <c r="L40" s="38"/>
      <c r="M40" s="66"/>
      <c r="N40" s="66"/>
      <c r="O40" s="66"/>
      <c r="P40" s="40"/>
      <c r="Q40" s="40"/>
      <c r="R40" s="41"/>
      <c r="S40" s="42"/>
      <c r="T40" s="44"/>
      <c r="U40" s="44"/>
      <c r="V40" s="44"/>
      <c r="W40" s="44"/>
      <c r="X40" s="44"/>
      <c r="Y40" s="44"/>
      <c r="Z40" s="44"/>
      <c r="AA40" s="44"/>
      <c r="AB40" s="53"/>
      <c r="AC40" s="53"/>
      <c r="AD40" s="42"/>
      <c r="AE40" s="54"/>
      <c r="AF40" s="54"/>
      <c r="AG40" s="55"/>
      <c r="AH40" s="55"/>
      <c r="AI40" s="56"/>
      <c r="AJ40" s="44"/>
      <c r="AK40" s="57"/>
      <c r="AL40" s="57"/>
      <c r="AM40" s="57"/>
      <c r="AN40" s="57"/>
      <c r="AO40" s="57"/>
      <c r="AP40" s="57"/>
    </row>
    <row r="41" ht="14.25" customHeight="1">
      <c r="A41" s="88"/>
      <c r="B41" s="31"/>
      <c r="C41" s="32"/>
      <c r="D41" s="33"/>
      <c r="E41" s="32"/>
      <c r="F41" s="32"/>
      <c r="G41" s="33"/>
      <c r="H41" s="35"/>
      <c r="I41" s="32"/>
      <c r="J41" s="36"/>
      <c r="K41" s="37"/>
      <c r="L41" s="38"/>
      <c r="M41" s="40"/>
      <c r="N41" s="66"/>
      <c r="O41" s="40"/>
      <c r="P41" s="40"/>
      <c r="Q41" s="40"/>
      <c r="R41" s="40"/>
      <c r="S41" s="42"/>
      <c r="T41" s="44"/>
      <c r="U41" s="44"/>
      <c r="V41" s="44"/>
      <c r="W41" s="44"/>
      <c r="X41" s="44"/>
      <c r="Y41" s="44"/>
      <c r="Z41" s="44"/>
      <c r="AA41" s="44"/>
      <c r="AB41" s="53"/>
      <c r="AC41" s="53"/>
      <c r="AD41" s="42"/>
      <c r="AE41" s="54"/>
      <c r="AF41" s="54"/>
      <c r="AG41" s="55"/>
      <c r="AH41" s="55"/>
      <c r="AI41" s="56"/>
      <c r="AJ41" s="44"/>
      <c r="AK41" s="57"/>
      <c r="AL41" s="57"/>
      <c r="AM41" s="57"/>
      <c r="AN41" s="57"/>
      <c r="AO41" s="57"/>
      <c r="AP41" s="57"/>
    </row>
    <row r="42" ht="14.25" customHeight="1">
      <c r="A42" s="88"/>
      <c r="B42" s="31"/>
      <c r="C42" s="32"/>
      <c r="D42" s="33"/>
      <c r="E42" s="32"/>
      <c r="F42" s="32"/>
      <c r="G42" s="33"/>
      <c r="H42" s="35"/>
      <c r="I42" s="32"/>
      <c r="J42" s="36"/>
      <c r="K42" s="37"/>
      <c r="L42" s="38"/>
      <c r="M42" s="66"/>
      <c r="N42" s="66"/>
      <c r="O42" s="66"/>
      <c r="P42" s="40"/>
      <c r="Q42" s="40"/>
      <c r="R42" s="41"/>
      <c r="S42" s="42"/>
      <c r="T42" s="44"/>
      <c r="U42" s="44"/>
      <c r="V42" s="44"/>
      <c r="W42" s="44"/>
      <c r="X42" s="44"/>
      <c r="Y42" s="44"/>
      <c r="Z42" s="44"/>
      <c r="AA42" s="44"/>
      <c r="AB42" s="53"/>
      <c r="AC42" s="53"/>
      <c r="AD42" s="42"/>
      <c r="AE42" s="54"/>
      <c r="AF42" s="54"/>
      <c r="AG42" s="55"/>
      <c r="AH42" s="55"/>
      <c r="AI42" s="56"/>
      <c r="AJ42" s="44"/>
      <c r="AK42" s="57"/>
      <c r="AL42" s="57"/>
      <c r="AM42" s="57"/>
      <c r="AN42" s="57"/>
      <c r="AO42" s="57"/>
      <c r="AP42" s="57"/>
    </row>
    <row r="43" ht="14.25" customHeight="1">
      <c r="A43" s="88"/>
      <c r="B43" s="31"/>
      <c r="C43" s="32"/>
      <c r="D43" s="33"/>
      <c r="E43" s="32"/>
      <c r="F43" s="32"/>
      <c r="G43" s="33"/>
      <c r="H43" s="35"/>
      <c r="I43" s="32"/>
      <c r="J43" s="36"/>
      <c r="K43" s="37"/>
      <c r="L43" s="38"/>
      <c r="M43" s="66"/>
      <c r="N43" s="66"/>
      <c r="O43" s="66"/>
      <c r="P43" s="40"/>
      <c r="Q43" s="66"/>
      <c r="R43" s="66"/>
      <c r="S43" s="42"/>
      <c r="T43" s="44"/>
      <c r="U43" s="44"/>
      <c r="V43" s="44"/>
      <c r="W43" s="44"/>
      <c r="X43" s="44"/>
      <c r="Y43" s="44"/>
      <c r="Z43" s="44"/>
      <c r="AA43" s="44"/>
      <c r="AB43" s="53"/>
      <c r="AC43" s="53"/>
      <c r="AD43" s="42"/>
      <c r="AE43" s="54"/>
      <c r="AF43" s="54"/>
      <c r="AG43" s="55"/>
      <c r="AH43" s="55"/>
      <c r="AI43" s="56"/>
      <c r="AJ43" s="44"/>
      <c r="AK43" s="57"/>
      <c r="AL43" s="57"/>
      <c r="AM43" s="57"/>
      <c r="AN43" s="57"/>
      <c r="AO43" s="57"/>
      <c r="AP43" s="57"/>
    </row>
    <row r="44" ht="14.25" customHeight="1">
      <c r="A44" s="88"/>
      <c r="B44" s="31"/>
      <c r="C44" s="32"/>
      <c r="D44" s="33"/>
      <c r="E44" s="32"/>
      <c r="F44" s="32"/>
      <c r="G44" s="33"/>
      <c r="H44" s="59"/>
      <c r="I44" s="32"/>
      <c r="J44" s="60"/>
      <c r="K44" s="37"/>
      <c r="L44" s="38"/>
      <c r="M44" s="40"/>
      <c r="N44" s="66"/>
      <c r="O44" s="66"/>
      <c r="P44" s="40"/>
      <c r="Q44" s="66"/>
      <c r="R44" s="66"/>
      <c r="S44" s="61"/>
      <c r="T44" s="62"/>
      <c r="U44" s="62"/>
      <c r="V44" s="62"/>
      <c r="W44" s="62"/>
      <c r="X44" s="62"/>
      <c r="Y44" s="62"/>
      <c r="Z44" s="62"/>
      <c r="AA44" s="62"/>
      <c r="AB44" s="53"/>
      <c r="AC44" s="53"/>
      <c r="AD44" s="61"/>
      <c r="AE44" s="54"/>
      <c r="AF44" s="54"/>
      <c r="AG44" s="63"/>
      <c r="AH44" s="63"/>
      <c r="AI44" s="64"/>
      <c r="AJ44" s="62"/>
      <c r="AK44" s="57"/>
      <c r="AL44" s="65"/>
      <c r="AM44" s="65"/>
      <c r="AN44" s="65"/>
      <c r="AO44" s="65"/>
      <c r="AP44" s="65"/>
    </row>
    <row r="45" ht="14.25" customHeight="1">
      <c r="A45" s="30"/>
      <c r="B45" s="31"/>
      <c r="C45" s="32"/>
      <c r="D45" s="33"/>
      <c r="E45" s="32"/>
      <c r="F45" s="32"/>
      <c r="G45" s="33"/>
      <c r="H45" s="35"/>
      <c r="I45" s="32"/>
      <c r="J45" s="36"/>
      <c r="K45" s="37"/>
      <c r="L45" s="38"/>
      <c r="M45" s="66"/>
      <c r="N45" s="66"/>
      <c r="O45" s="66"/>
      <c r="P45" s="40"/>
      <c r="Q45" s="66"/>
      <c r="R45" s="66"/>
      <c r="S45" s="42"/>
      <c r="T45" s="44"/>
      <c r="U45" s="44"/>
      <c r="V45" s="44"/>
      <c r="W45" s="44"/>
      <c r="X45" s="44"/>
      <c r="Y45" s="44"/>
      <c r="Z45" s="44"/>
      <c r="AA45" s="44"/>
      <c r="AB45" s="53"/>
      <c r="AC45" s="53"/>
      <c r="AD45" s="42"/>
      <c r="AE45" s="54"/>
      <c r="AF45" s="54"/>
      <c r="AG45" s="55"/>
      <c r="AH45" s="55"/>
      <c r="AI45" s="56"/>
      <c r="AJ45" s="44"/>
      <c r="AK45" s="57"/>
      <c r="AL45" s="57"/>
      <c r="AM45" s="57"/>
      <c r="AN45" s="57"/>
      <c r="AO45" s="57"/>
      <c r="AP45" s="57"/>
    </row>
    <row r="46" ht="14.25" customHeight="1">
      <c r="A46" s="88"/>
      <c r="B46" s="31"/>
      <c r="C46" s="32"/>
      <c r="D46" s="33"/>
      <c r="E46" s="32"/>
      <c r="F46" s="32"/>
      <c r="G46" s="33"/>
      <c r="H46" s="35"/>
      <c r="I46" s="32"/>
      <c r="J46" s="37"/>
      <c r="K46" s="37"/>
      <c r="L46" s="38"/>
      <c r="M46" s="66"/>
      <c r="N46" s="66"/>
      <c r="O46" s="66"/>
      <c r="P46" s="40"/>
      <c r="Q46" s="40"/>
      <c r="R46" s="41"/>
      <c r="S46" s="42"/>
      <c r="T46" s="44"/>
      <c r="U46" s="44"/>
      <c r="V46" s="44"/>
      <c r="W46" s="44"/>
      <c r="X46" s="44"/>
      <c r="Y46" s="44"/>
      <c r="Z46" s="44"/>
      <c r="AA46" s="44"/>
      <c r="AB46" s="53"/>
      <c r="AC46" s="53"/>
      <c r="AD46" s="42"/>
      <c r="AE46" s="54"/>
      <c r="AF46" s="54"/>
      <c r="AG46" s="55"/>
      <c r="AH46" s="55"/>
      <c r="AI46" s="56"/>
      <c r="AJ46" s="44"/>
      <c r="AK46" s="57"/>
      <c r="AL46" s="57"/>
      <c r="AM46" s="57"/>
      <c r="AN46" s="57"/>
      <c r="AO46" s="57"/>
      <c r="AP46" s="57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6">
    <mergeCell ref="A1:L1"/>
    <mergeCell ref="M1:P1"/>
    <mergeCell ref="T1:AA1"/>
    <mergeCell ref="AB1:AH1"/>
    <mergeCell ref="AI1:AJ1"/>
    <mergeCell ref="AK1:AP1"/>
  </mergeCells>
  <conditionalFormatting sqref="AP3:AP12 AP38:AP46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rintOptions/>
  <pageMargins bottom="0.75" footer="0.0" header="0.0" left="0.7" right="0.7" top="0.75"/>
  <pageSetup orientation="landscape"/>
  <drawing r:id="rId2"/>
  <legacy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6.0"/>
    <col customWidth="1" min="3" max="3" width="42.0"/>
    <col customWidth="1" min="4" max="26" width="8.63"/>
  </cols>
  <sheetData>
    <row r="1" ht="31.5" customHeight="1">
      <c r="A1" s="1" t="s">
        <v>0</v>
      </c>
      <c r="B1" s="2"/>
      <c r="C1" s="3"/>
    </row>
    <row r="2" ht="14.25" customHeight="1">
      <c r="A2" s="4"/>
      <c r="B2" s="4"/>
      <c r="C2" s="4"/>
    </row>
    <row r="3" ht="14.25" customHeight="1">
      <c r="A3" s="5" t="s">
        <v>1</v>
      </c>
      <c r="B3" s="5" t="s">
        <v>2</v>
      </c>
      <c r="C3" s="5" t="s">
        <v>4</v>
      </c>
    </row>
    <row r="4" ht="14.25" customHeight="1">
      <c r="A4" s="6" t="s">
        <v>5</v>
      </c>
      <c r="B4" s="8">
        <v>2119.0</v>
      </c>
      <c r="C4" s="9" t="s">
        <v>6</v>
      </c>
    </row>
    <row r="5" ht="14.25" customHeight="1">
      <c r="A5" s="10" t="s">
        <v>7</v>
      </c>
      <c r="B5" s="11">
        <v>100.0</v>
      </c>
      <c r="C5" s="9" t="s">
        <v>9</v>
      </c>
    </row>
    <row r="6" ht="14.25" customHeight="1">
      <c r="A6" s="10" t="s">
        <v>10</v>
      </c>
      <c r="B6" s="12">
        <v>0.35</v>
      </c>
      <c r="C6" s="9" t="s">
        <v>11</v>
      </c>
    </row>
    <row r="7" ht="14.25" customHeight="1">
      <c r="A7" s="10" t="s">
        <v>12</v>
      </c>
      <c r="B7" s="12">
        <v>0.85</v>
      </c>
      <c r="C7" s="9" t="s">
        <v>13</v>
      </c>
    </row>
    <row r="8" ht="14.25" customHeight="1">
      <c r="A8" s="10" t="s">
        <v>14</v>
      </c>
      <c r="B8" s="12">
        <v>1.0</v>
      </c>
      <c r="C8" s="9" t="s">
        <v>13</v>
      </c>
    </row>
    <row r="9" ht="14.25" customHeight="1">
      <c r="A9" s="15"/>
      <c r="B9" s="15"/>
      <c r="C9" s="15"/>
    </row>
    <row r="10" ht="14.25" customHeight="1">
      <c r="A10" s="17" t="s">
        <v>16</v>
      </c>
      <c r="B10" s="18"/>
      <c r="C10" s="19"/>
    </row>
    <row r="11" ht="14.25" customHeight="1">
      <c r="A11" s="15"/>
      <c r="B11" s="15"/>
      <c r="C11" s="15"/>
    </row>
    <row r="12" ht="14.25" customHeight="1">
      <c r="A12" s="20" t="s">
        <v>18</v>
      </c>
      <c r="B12" s="20" t="s">
        <v>19</v>
      </c>
      <c r="C12" s="20" t="s">
        <v>21</v>
      </c>
    </row>
    <row r="13" ht="14.25" customHeight="1">
      <c r="A13" s="22">
        <v>50.0</v>
      </c>
      <c r="B13" s="23">
        <v>0.1</v>
      </c>
      <c r="C13" s="25" t="s">
        <v>23</v>
      </c>
    </row>
    <row r="14" ht="14.25" customHeight="1">
      <c r="A14" s="22">
        <v>100.0</v>
      </c>
      <c r="B14" s="23">
        <v>0.15</v>
      </c>
      <c r="C14" s="25" t="s">
        <v>23</v>
      </c>
    </row>
    <row r="15" ht="14.25" customHeight="1">
      <c r="A15" s="22">
        <v>200.0</v>
      </c>
      <c r="B15" s="26">
        <v>0.2</v>
      </c>
      <c r="C15" s="25" t="s">
        <v>24</v>
      </c>
    </row>
    <row r="16" ht="14.25" customHeight="1">
      <c r="A16" s="22">
        <v>300.0</v>
      </c>
      <c r="B16" s="26">
        <v>0.2</v>
      </c>
      <c r="C16" s="25" t="s">
        <v>25</v>
      </c>
    </row>
    <row r="17" ht="14.25" customHeight="1">
      <c r="A17" s="22">
        <v>400.0</v>
      </c>
      <c r="B17" s="26">
        <v>0.2</v>
      </c>
      <c r="C17" s="25" t="s">
        <v>26</v>
      </c>
    </row>
    <row r="18" ht="14.25" customHeight="1">
      <c r="A18" s="22">
        <v>550.0</v>
      </c>
      <c r="B18" s="23">
        <v>0.1</v>
      </c>
      <c r="C18" s="25" t="s">
        <v>28</v>
      </c>
    </row>
    <row r="19" ht="14.25" customHeight="1">
      <c r="A19" s="22">
        <v>750.0</v>
      </c>
      <c r="B19" s="23">
        <v>0.05</v>
      </c>
      <c r="C19" s="25" t="s">
        <v>29</v>
      </c>
    </row>
    <row r="20" ht="14.25" customHeight="1">
      <c r="A20" s="25" t="s">
        <v>30</v>
      </c>
      <c r="B20" s="26">
        <f>SUM(B13:B19)</f>
        <v>1</v>
      </c>
      <c r="C20" s="29"/>
    </row>
    <row r="21" ht="14.25" customHeight="1">
      <c r="A21" s="15"/>
      <c r="B21" s="15"/>
      <c r="C21" s="15"/>
    </row>
    <row r="22" ht="14.25" customHeight="1">
      <c r="A22" s="17" t="s">
        <v>65</v>
      </c>
      <c r="B22" s="18"/>
      <c r="C22" s="19"/>
    </row>
    <row r="23" ht="14.25" customHeight="1">
      <c r="A23" s="20" t="s">
        <v>73</v>
      </c>
      <c r="B23" s="20" t="s">
        <v>19</v>
      </c>
      <c r="C23" s="20" t="s">
        <v>75</v>
      </c>
    </row>
    <row r="24" ht="14.25" customHeight="1">
      <c r="A24" s="25" t="s">
        <v>32</v>
      </c>
      <c r="B24" s="34">
        <v>1.0</v>
      </c>
      <c r="C24" s="25" t="s">
        <v>13</v>
      </c>
    </row>
    <row r="25" ht="14.25" customHeight="1">
      <c r="A25" s="25" t="s">
        <v>33</v>
      </c>
      <c r="B25" s="34">
        <v>-20.0</v>
      </c>
      <c r="C25" s="25" t="s">
        <v>11</v>
      </c>
    </row>
    <row r="26" ht="14.25" customHeight="1">
      <c r="A26" s="25" t="s">
        <v>34</v>
      </c>
      <c r="B26" s="39">
        <v>-0.4</v>
      </c>
      <c r="C26" s="25" t="s">
        <v>11</v>
      </c>
    </row>
    <row r="27" ht="14.25" customHeight="1">
      <c r="A27" s="25" t="s">
        <v>35</v>
      </c>
      <c r="B27" s="39">
        <v>-0.3</v>
      </c>
      <c r="C27" s="25" t="s">
        <v>11</v>
      </c>
    </row>
    <row r="28" ht="14.25" customHeight="1">
      <c r="A28" s="25" t="s">
        <v>36</v>
      </c>
      <c r="B28" s="39">
        <v>-30.0</v>
      </c>
      <c r="C28" s="25" t="s">
        <v>11</v>
      </c>
    </row>
    <row r="29" ht="14.25" customHeight="1">
      <c r="A29" s="25" t="s">
        <v>37</v>
      </c>
      <c r="B29" s="34">
        <v>10.0</v>
      </c>
      <c r="C29" s="25" t="s">
        <v>77</v>
      </c>
    </row>
    <row r="30" ht="14.25" customHeight="1">
      <c r="A30" s="25" t="s">
        <v>38</v>
      </c>
      <c r="B30" s="43">
        <v>0.005</v>
      </c>
      <c r="C30" s="25" t="str">
        <f>CONCAT("1 point per +", 1/B30)</f>
        <v>1 point per +200</v>
      </c>
    </row>
    <row r="31" ht="14.25" customHeight="1">
      <c r="A31" s="25" t="s">
        <v>39</v>
      </c>
      <c r="B31" s="34">
        <v>10.0</v>
      </c>
      <c r="C31" s="25" t="s">
        <v>77</v>
      </c>
    </row>
    <row r="32" ht="14.25" customHeight="1">
      <c r="A32" s="25" t="s">
        <v>41</v>
      </c>
      <c r="B32" s="34">
        <v>0.0</v>
      </c>
      <c r="C32" s="25" t="s">
        <v>78</v>
      </c>
    </row>
    <row r="33" ht="14.25" customHeight="1">
      <c r="A33" s="45" t="s">
        <v>79</v>
      </c>
      <c r="B33" s="46">
        <v>-10.0</v>
      </c>
      <c r="C33" s="45" t="s">
        <v>80</v>
      </c>
    </row>
    <row r="34" ht="14.25" customHeight="1">
      <c r="A34" s="17" t="s">
        <v>81</v>
      </c>
      <c r="B34" s="18"/>
      <c r="C34" s="19"/>
    </row>
    <row r="35" ht="14.25" customHeight="1">
      <c r="A35" s="47" t="s">
        <v>56</v>
      </c>
      <c r="B35" s="48">
        <v>0.5</v>
      </c>
      <c r="C35" s="47" t="s">
        <v>82</v>
      </c>
    </row>
    <row r="36" ht="14.25" customHeight="1">
      <c r="A36" s="47" t="s">
        <v>57</v>
      </c>
      <c r="B36" s="49">
        <v>2.0</v>
      </c>
      <c r="C36" s="47" t="s">
        <v>83</v>
      </c>
    </row>
    <row r="37" ht="14.25" customHeight="1">
      <c r="A37" s="47" t="s">
        <v>58</v>
      </c>
      <c r="B37" s="49">
        <v>3.0</v>
      </c>
      <c r="C37" s="47" t="s">
        <v>84</v>
      </c>
    </row>
    <row r="38" ht="14.25" customHeight="1">
      <c r="A38" s="50" t="s">
        <v>66</v>
      </c>
      <c r="B38" s="51">
        <v>6.0</v>
      </c>
      <c r="C38" s="52" t="s">
        <v>85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C1"/>
    <mergeCell ref="A10:C10"/>
    <mergeCell ref="A22:C22"/>
    <mergeCell ref="A34:C34"/>
  </mergeCells>
  <printOptions/>
  <pageMargins bottom="0.75" footer="0.0" header="0.0" left="0.7" right="0.7" top="0.75"/>
  <pageSetup orientation="landscape"/>
  <drawing r:id="rId2"/>
  <legacyDrawing r:id="rId3"/>
</worksheet>
</file>