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m4-barre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zoomScale="126" zoomScaleNormal="130" workbookViewId="0">
      <selection activeCell="D31" sqref="D31"/>
    </sheetView>
  </sheetViews>
  <sheetFormatPr baseColWidth="8" defaultColWidth="8.7109375" defaultRowHeight="15"/>
  <cols>
    <col width="29.42578125" customWidth="1" min="1" max="1"/>
    <col width="27.140625" customWidth="1" min="2" max="2"/>
    <col width="6.7109375" customWidth="1" min="3" max="25"/>
  </cols>
  <sheetData>
    <row r="1">
      <c r="C1" t="inlineStr">
        <is>
          <t>new</t>
        </is>
      </c>
    </row>
    <row r="2">
      <c r="A2" t="inlineStr">
        <is>
          <t>name</t>
        </is>
      </c>
      <c r="B2" t="inlineStr">
        <is>
          <t>pretty_name</t>
        </is>
      </c>
      <c r="C2" t="inlineStr">
        <is>
          <t>ergonomics</t>
        </is>
      </c>
      <c r="D2" t="inlineStr">
        <is>
          <t>weight</t>
        </is>
      </c>
      <c r="E2" t="inlineStr">
        <is>
          <t>horizontal_recoil</t>
        </is>
      </c>
      <c r="F2" t="inlineStr">
        <is>
          <t>vertical_recoil</t>
        </is>
      </c>
      <c r="G2" t="inlineStr">
        <is>
          <t>magazine_capacity</t>
        </is>
      </c>
      <c r="H2" t="inlineStr">
        <is>
          <t>barrel_deviation</t>
        </is>
      </c>
      <c r="I2" t="inlineStr">
        <is>
          <t>bullet_damage</t>
        </is>
      </c>
      <c r="J2" t="inlineStr">
        <is>
          <t>bullet_velocity</t>
        </is>
      </c>
      <c r="K2" t="inlineStr">
        <is>
          <t>buck_barrel_deviation</t>
        </is>
      </c>
      <c r="L2" t="inlineStr">
        <is>
          <t>fire_rate</t>
        </is>
      </c>
      <c r="M2" t="inlineStr">
        <is>
          <t>price</t>
        </is>
      </c>
      <c r="N2" t="inlineStr">
        <is>
          <t>strength</t>
        </is>
      </c>
      <c r="P2" t="inlineStr">
        <is>
          <t>base</t>
        </is>
      </c>
      <c r="Q2" t="inlineStr">
        <is>
          <t>length</t>
        </is>
      </c>
      <c r="R2" t="inlineStr">
        <is>
          <t>mod</t>
        </is>
      </c>
      <c r="S2" t="inlineStr">
        <is>
          <t>old weight</t>
        </is>
      </c>
      <c r="T2" t="inlineStr">
        <is>
          <t>gas</t>
        </is>
      </c>
      <c r="U2" t="inlineStr">
        <is>
          <t>new weight</t>
        </is>
      </c>
      <c r="V2" t="inlineStr">
        <is>
          <t>dev</t>
        </is>
      </c>
      <c r="X2" t="inlineStr">
        <is>
          <t>irl price</t>
        </is>
      </c>
    </row>
    <row r="3">
      <c r="A3" t="inlineStr">
        <is>
          <t>cmmg_ar_15_5.56x45_610mm_fluted_r_barrel</t>
        </is>
      </c>
      <c r="B3" t="inlineStr">
        <is>
          <t>CmmG 24" Fluted AR-15 Rifle Length Gastube 5.56x45</t>
        </is>
      </c>
      <c r="C3" t="n">
        <v>-12</v>
      </c>
      <c r="D3" t="n">
        <v>0.97</v>
      </c>
      <c r="E3" t="n">
        <v>-16</v>
      </c>
      <c r="F3" t="n">
        <v>-16</v>
      </c>
      <c r="H3" t="n">
        <v>-0.32</v>
      </c>
      <c r="I3" t="n">
        <v>0.3</v>
      </c>
      <c r="J3" t="n">
        <v>262</v>
      </c>
      <c r="L3" t="n">
        <v>-0.06</v>
      </c>
      <c r="M3" t="n">
        <v>5000</v>
      </c>
      <c r="N3">
        <f>C3-D3*20-E3*0.8-F3*0.6-H3*5+I3*15+J3/300</f>
        <v/>
      </c>
      <c r="P3" t="n">
        <v>0.18</v>
      </c>
      <c r="Q3" t="n">
        <v>24</v>
      </c>
      <c r="R3" t="n">
        <v>0</v>
      </c>
      <c r="S3">
        <f>ROUND(Q3*0.035+P3+R3, 2)</f>
        <v/>
      </c>
      <c r="T3" s="1" t="n">
        <v>0.04</v>
      </c>
      <c r="U3">
        <f>0.06+0.037*Q3+T3+R3</f>
        <v/>
      </c>
      <c r="V3">
        <f>0+(Q3-14.5)*-0.043</f>
        <v/>
      </c>
      <c r="X3" t="n">
        <v>349.95</v>
      </c>
      <c r="Y3">
        <f>X3*6</f>
        <v/>
      </c>
    </row>
    <row r="4">
      <c r="A4" t="inlineStr">
        <is>
          <t>whtnls_a1_m4a1_5.56x45_508mm_govt_r_barrel</t>
        </is>
      </c>
      <c r="B4" t="inlineStr">
        <is>
          <t>Whitnalls A1 Government 20" Rifle Length Gastube 5.56x45</t>
        </is>
      </c>
      <c r="C4" t="n">
        <v>-9</v>
      </c>
      <c r="D4" t="n">
        <v>0.84</v>
      </c>
      <c r="E4" t="n">
        <v>-10</v>
      </c>
      <c r="F4" t="n">
        <v>-10</v>
      </c>
      <c r="H4" t="n">
        <v>-0.24</v>
      </c>
      <c r="I4" t="n">
        <v>0.21</v>
      </c>
      <c r="J4" t="n">
        <v>179</v>
      </c>
      <c r="L4" t="n">
        <v>-0.06</v>
      </c>
      <c r="M4" t="n">
        <v>1600</v>
      </c>
      <c r="N4">
        <f>C4-D4*20-E4*0.8-F4*0.6-H4*5+I4*15+J4/300</f>
        <v/>
      </c>
      <c r="P4" t="n">
        <v>0.18</v>
      </c>
      <c r="Q4" t="n">
        <v>20</v>
      </c>
      <c r="S4">
        <f>ROUND(Q4*0.035+P4+R4, 2)</f>
        <v/>
      </c>
      <c r="T4" t="n">
        <v>0.04</v>
      </c>
      <c r="U4">
        <f>0.06+0.037*Q4+T4+R4</f>
        <v/>
      </c>
      <c r="V4">
        <f>0+(Q4-14.5)*-0.043</f>
        <v/>
      </c>
      <c r="X4" t="n">
        <v>344.99</v>
      </c>
      <c r="Y4">
        <f>X4*6</f>
        <v/>
      </c>
      <c r="AA4">
        <f>S7/S4</f>
        <v/>
      </c>
    </row>
    <row r="5">
      <c r="A5" t="inlineStr">
        <is>
          <t>whtnls_m4a1_5.56x45_508mm_hbar_r_barrel</t>
        </is>
      </c>
      <c r="B5" t="inlineStr">
        <is>
          <t>Whitnalls HBAR 20" Rifle Length Gastube 5.56x45</t>
        </is>
      </c>
      <c r="C5" t="n">
        <v>-10</v>
      </c>
      <c r="D5" t="n">
        <v>0.9399999999999999</v>
      </c>
      <c r="E5" t="n">
        <v>-12</v>
      </c>
      <c r="F5" t="n">
        <v>-12</v>
      </c>
      <c r="H5" t="n">
        <v>-0.22</v>
      </c>
      <c r="I5" t="n">
        <v>0.21</v>
      </c>
      <c r="J5" t="n">
        <v>191</v>
      </c>
      <c r="L5" t="n">
        <v>-0.06</v>
      </c>
      <c r="M5" t="n">
        <v>2000</v>
      </c>
      <c r="N5">
        <f>C5-D5*20-E5*0.8-F5*0.6-H5*5+I5*15+J5/300</f>
        <v/>
      </c>
      <c r="P5" t="n">
        <v>0.18</v>
      </c>
      <c r="Q5" t="n">
        <v>20</v>
      </c>
      <c r="R5" t="n">
        <v>0.1</v>
      </c>
      <c r="S5">
        <f>ROUND(Q5*0.035+P5+R5, 2)</f>
        <v/>
      </c>
      <c r="T5" t="n">
        <v>0.04</v>
      </c>
      <c r="U5">
        <f>0.06+0.037*Q5+T5+R5</f>
        <v/>
      </c>
      <c r="V5">
        <f>0+(Q5-14.5)*-0.043</f>
        <v/>
      </c>
      <c r="X5" t="n">
        <v>349.99</v>
      </c>
      <c r="Y5">
        <f>X5*6</f>
        <v/>
      </c>
    </row>
    <row r="6">
      <c r="A6" t="inlineStr">
        <is>
          <t>ex_call_ar_15_.223wylde_457mm_spiral_6groove_m_barrel</t>
        </is>
      </c>
      <c r="B6" t="inlineStr">
        <is>
          <t>Ex-Call Custom 18" Spiral 6 Groove Mid Length Gastube .223 Wylde</t>
        </is>
      </c>
      <c r="C6" t="n">
        <v>-7</v>
      </c>
      <c r="D6" t="n">
        <v>0.72</v>
      </c>
      <c r="E6" t="n">
        <v>-9</v>
      </c>
      <c r="F6" t="n">
        <v>-9</v>
      </c>
      <c r="H6" t="n">
        <v>-0.13</v>
      </c>
      <c r="I6" t="n">
        <v>0.15</v>
      </c>
      <c r="J6" t="n">
        <v>131</v>
      </c>
      <c r="L6" t="n">
        <v>-0.03</v>
      </c>
      <c r="M6" t="n">
        <v>1800</v>
      </c>
      <c r="N6">
        <f>C6-D6*20-E6*0.8-F6*0.6-H6*5+I6*15+J6/300</f>
        <v/>
      </c>
      <c r="P6" t="n">
        <v>0.15</v>
      </c>
      <c r="Q6" t="n">
        <v>18</v>
      </c>
      <c r="R6" t="n">
        <v>-0.04</v>
      </c>
      <c r="S6">
        <f>ROUND(Q6*0.035+P6+R6, 2)</f>
        <v/>
      </c>
      <c r="T6" t="n">
        <v>0.03</v>
      </c>
      <c r="U6">
        <f>0.06+0.037*Q6+T6+R6</f>
        <v/>
      </c>
      <c r="V6">
        <f>0+(Q6-14.5)*-0.043</f>
        <v/>
      </c>
      <c r="X6" t="n">
        <v>372</v>
      </c>
      <c r="Y6">
        <f>X6*6</f>
        <v/>
      </c>
    </row>
    <row r="7">
      <c r="A7" t="inlineStr">
        <is>
          <t>whtnls_m4a1_5.56x45_406mm_govt_m_barrel</t>
        </is>
      </c>
      <c r="B7" t="inlineStr">
        <is>
          <t>Whitnalls Government 16" Mid Length Gastube 5.56x45</t>
        </is>
      </c>
      <c r="C7" t="n">
        <v>-4</v>
      </c>
      <c r="D7" t="n">
        <v>0.68</v>
      </c>
      <c r="E7" t="n">
        <v>-7</v>
      </c>
      <c r="F7" t="n">
        <v>-7</v>
      </c>
      <c r="H7" t="n">
        <v>-0.05</v>
      </c>
      <c r="I7" t="n">
        <v>0.08</v>
      </c>
      <c r="J7" t="n">
        <v>108</v>
      </c>
      <c r="L7" t="n">
        <v>-0.03</v>
      </c>
      <c r="M7" t="n">
        <v>1100</v>
      </c>
      <c r="N7">
        <f>C7-D7*20-E7*0.8-F7*0.6-H7*5+I7*15+J7/300</f>
        <v/>
      </c>
      <c r="P7" t="n">
        <v>0.15</v>
      </c>
      <c r="Q7" t="n">
        <v>16</v>
      </c>
      <c r="S7">
        <f>ROUND(Q7*0.035+P7+R7, 2)</f>
        <v/>
      </c>
      <c r="T7" t="n">
        <v>0.03</v>
      </c>
      <c r="U7">
        <f>0.06+0.037*Q7+T7+R7</f>
        <v/>
      </c>
      <c r="V7">
        <f>0+(Q7-14.5)*-0.043</f>
        <v/>
      </c>
      <c r="X7" t="n">
        <v>329.99</v>
      </c>
      <c r="Y7">
        <f>X7*6</f>
        <v/>
      </c>
    </row>
    <row r="8">
      <c r="A8" t="inlineStr">
        <is>
          <t>whtnls_m4a1_5.56x45_406mm_socom_c_barrel</t>
        </is>
      </c>
      <c r="B8" t="inlineStr">
        <is>
          <t>Whitnalls Socom 16" Carbine Length Gastube 5.56x45</t>
        </is>
      </c>
      <c r="C8" t="n">
        <v>-3</v>
      </c>
      <c r="D8" t="n">
        <v>0.71</v>
      </c>
      <c r="E8" t="n">
        <v>-6</v>
      </c>
      <c r="F8" t="n">
        <v>-6</v>
      </c>
      <c r="H8" t="n">
        <v>-0.07000000000000001</v>
      </c>
      <c r="I8" t="n">
        <v>0.1</v>
      </c>
      <c r="J8" t="n">
        <v>78</v>
      </c>
      <c r="M8" t="n">
        <v>1200</v>
      </c>
      <c r="N8">
        <f>C8-D8*20-E8*0.8-F8*0.6-H8*5+I8*15+J8/300</f>
        <v/>
      </c>
      <c r="P8" t="n">
        <v>0.12</v>
      </c>
      <c r="Q8" t="n">
        <v>16</v>
      </c>
      <c r="R8" t="n">
        <v>0.04</v>
      </c>
      <c r="S8">
        <f>ROUND(Q8*0.035+P8+R8, 2)</f>
        <v/>
      </c>
      <c r="T8" t="n">
        <v>0.02</v>
      </c>
      <c r="U8">
        <f>0.06+0.037*Q8+T8+R8</f>
        <v/>
      </c>
      <c r="V8">
        <f>0+(Q8-14.5)*-0.043</f>
        <v/>
      </c>
      <c r="X8" t="n">
        <v>279.99</v>
      </c>
      <c r="Y8">
        <f>X8*6</f>
        <v/>
      </c>
    </row>
    <row r="9">
      <c r="A9" t="inlineStr">
        <is>
          <t>hart_m4a1_5.56x45_368mm_socom_c_barrel</t>
        </is>
      </c>
      <c r="B9" t="inlineStr">
        <is>
          <t>Hart Socom 14.5" Carbine Length Gastube 5.56x45</t>
        </is>
      </c>
      <c r="C9" t="n">
        <v>-1</v>
      </c>
      <c r="D9" t="n">
        <v>0.65</v>
      </c>
      <c r="E9" t="n">
        <v>-5</v>
      </c>
      <c r="F9" t="n">
        <v>-5</v>
      </c>
      <c r="H9" t="n">
        <v>-0.02</v>
      </c>
      <c r="I9" t="n">
        <v>0.04</v>
      </c>
      <c r="J9" t="n">
        <v>45</v>
      </c>
      <c r="M9" t="n">
        <v>800</v>
      </c>
      <c r="N9">
        <f>C9-D9*20-E9*0.8-F9*0.6-H9*5+I9*15+J9/300</f>
        <v/>
      </c>
      <c r="P9" t="n">
        <v>0.12</v>
      </c>
      <c r="Q9" t="n">
        <v>14.5</v>
      </c>
      <c r="R9" t="n">
        <v>0.04</v>
      </c>
      <c r="S9">
        <f>ROUND(Q9*0.035+P9+R9, 2)</f>
        <v/>
      </c>
      <c r="T9" t="n">
        <v>0.02</v>
      </c>
      <c r="U9">
        <f>0.06+0.037*Q9+T9+R9</f>
        <v/>
      </c>
      <c r="V9">
        <f>0+(Q9-14.5)*-0.043</f>
        <v/>
      </c>
      <c r="X9" t="n">
        <v>349</v>
      </c>
      <c r="Y9">
        <f>X9*6</f>
        <v/>
      </c>
    </row>
    <row r="10">
      <c r="A10" t="inlineStr">
        <is>
          <t>hart_m4a1_5.56x45_368mm_govt_c_barrel</t>
        </is>
      </c>
      <c r="B10" t="inlineStr">
        <is>
          <t>Hart Government 14.5" Carbine Length Gastube 5.56x45</t>
        </is>
      </c>
      <c r="C10" t="n">
        <v>0</v>
      </c>
      <c r="D10" t="n">
        <v>0.61</v>
      </c>
      <c r="E10" t="n">
        <v>-4</v>
      </c>
      <c r="F10" t="n">
        <v>-4</v>
      </c>
      <c r="H10" t="n">
        <v>0</v>
      </c>
      <c r="I10" t="n">
        <v>0.02</v>
      </c>
      <c r="J10" t="n">
        <v>33</v>
      </c>
      <c r="M10" t="n">
        <v>0</v>
      </c>
      <c r="N10">
        <f>C10-D10*20-E10*0.8-F10*0.6-H10*5+I10*15+J10/300</f>
        <v/>
      </c>
      <c r="P10" t="n">
        <v>0.12</v>
      </c>
      <c r="Q10" t="n">
        <v>14.5</v>
      </c>
      <c r="S10">
        <f>ROUND(Q10*0.035+P10+R10, 2)</f>
        <v/>
      </c>
      <c r="T10" t="n">
        <v>0.02</v>
      </c>
      <c r="U10">
        <f>0.06+0.037*Q10+T10+R10</f>
        <v/>
      </c>
      <c r="V10">
        <f>0+(Q10-14.5)*-0.043</f>
        <v/>
      </c>
      <c r="Y10">
        <f>X10*6</f>
        <v/>
      </c>
    </row>
    <row r="11">
      <c r="A11" t="inlineStr">
        <is>
          <t>pac_ks1_5.56x45_348mm_heavy_dimpled_m_barrel</t>
        </is>
      </c>
      <c r="B11" t="inlineStr">
        <is>
          <t>PAC KS-1 (L403A1) Heavy Dimpled 13.7" Mid Length Gastube 5.56x45</t>
        </is>
      </c>
      <c r="C11" t="n">
        <v>1</v>
      </c>
      <c r="D11" t="n">
        <v>0.61</v>
      </c>
      <c r="E11" t="n">
        <v>-4</v>
      </c>
      <c r="F11" t="n">
        <v>-4</v>
      </c>
      <c r="H11" t="n">
        <v>0.04</v>
      </c>
      <c r="I11" t="n">
        <v>0.01</v>
      </c>
      <c r="J11" t="n">
        <v>37</v>
      </c>
      <c r="L11" t="n">
        <v>-0.03</v>
      </c>
      <c r="M11" t="n">
        <v>2000</v>
      </c>
      <c r="N11">
        <f>C11-D11*20-E11*0.8-F11*0.6-H11*5+I11*15+J11/300</f>
        <v/>
      </c>
      <c r="P11" t="n">
        <v>0.15</v>
      </c>
      <c r="Q11" t="n">
        <v>13.7</v>
      </c>
      <c r="R11" t="n">
        <v>0.02</v>
      </c>
      <c r="S11">
        <f>ROUND(Q11*0.035+P11+R11, 2)</f>
        <v/>
      </c>
      <c r="T11" t="n">
        <v>0.03</v>
      </c>
      <c r="U11">
        <f>0.06+0.037*Q11+T11+R11</f>
        <v/>
      </c>
      <c r="V11">
        <f>0+(Q11-14.5)*-0.043</f>
        <v/>
      </c>
    </row>
    <row r="12">
      <c r="A12" t="inlineStr">
        <is>
          <t>hart_m4a1_5.56x45_317mm_govt_c_barrel</t>
        </is>
      </c>
      <c r="B12" t="inlineStr">
        <is>
          <t>Hart Government 12.5" Carbine Length Gastube 5.56x45</t>
        </is>
      </c>
      <c r="C12" t="n">
        <v>1</v>
      </c>
      <c r="D12" t="n">
        <v>0.54</v>
      </c>
      <c r="E12" t="n">
        <v>-3</v>
      </c>
      <c r="F12" t="n">
        <v>-3</v>
      </c>
      <c r="H12" t="n">
        <v>0.09</v>
      </c>
      <c r="I12" t="n">
        <v>-0.02</v>
      </c>
      <c r="J12" t="n">
        <v>-34</v>
      </c>
      <c r="M12" t="n">
        <v>1200</v>
      </c>
      <c r="N12">
        <f>C12-D12*20-E12*0.8-F12*0.6-H12*5+I12*15+J12/300</f>
        <v/>
      </c>
      <c r="P12" t="n">
        <v>0.12</v>
      </c>
      <c r="Q12" t="n">
        <v>12.5</v>
      </c>
      <c r="S12">
        <f>ROUND(Q12*0.035+P12+R12, 2)</f>
        <v/>
      </c>
      <c r="T12" t="n">
        <v>0.02</v>
      </c>
      <c r="U12">
        <f>0.06+0.037*Q12+T12+R12</f>
        <v/>
      </c>
      <c r="V12">
        <f>0+(Q12-14.5)*-0.043</f>
        <v/>
      </c>
      <c r="X12" t="n">
        <v>338</v>
      </c>
      <c r="Y12">
        <f>X12*6</f>
        <v/>
      </c>
    </row>
    <row r="13">
      <c r="A13" t="inlineStr">
        <is>
          <t>primabarrels_ar15_modern_series_5.56x45_292mm_govt_c_barrel</t>
        </is>
      </c>
      <c r="B13" t="inlineStr">
        <is>
          <t>PrimaBarrels Modern Series Government 11.5" Carbine Length Gastube 5.56x45</t>
        </is>
      </c>
      <c r="C13" t="n">
        <v>2</v>
      </c>
      <c r="D13" t="n">
        <v>0.5</v>
      </c>
      <c r="E13" t="n">
        <v>-2</v>
      </c>
      <c r="F13" t="n">
        <v>-3</v>
      </c>
      <c r="H13" t="n">
        <v>0.13</v>
      </c>
      <c r="I13" t="n">
        <v>-0.05</v>
      </c>
      <c r="J13" t="n">
        <v>-72</v>
      </c>
      <c r="M13" t="n">
        <v>1100</v>
      </c>
      <c r="N13">
        <f>C13-D13*20-E13*0.8-F13*0.6-H13*5+I13*15+J13/300</f>
        <v/>
      </c>
      <c r="P13" t="n">
        <v>0.12</v>
      </c>
      <c r="Q13" t="n">
        <v>11.5</v>
      </c>
      <c r="S13">
        <f>ROUND(Q13*0.035+P13+R13, 2)</f>
        <v/>
      </c>
      <c r="T13" t="n">
        <v>0.02</v>
      </c>
      <c r="U13">
        <f>0.06+0.037*Q13+T13+R13</f>
        <v/>
      </c>
      <c r="V13">
        <f>0+(Q13-14.5)*-0.043</f>
        <v/>
      </c>
      <c r="X13" t="n">
        <v>155</v>
      </c>
      <c r="Y13">
        <f>X13*6</f>
        <v/>
      </c>
    </row>
    <row r="14">
      <c r="A14" t="inlineStr">
        <is>
          <t>hart_m4a1_5.56x45_267mm_govt_c_barrel</t>
        </is>
      </c>
      <c r="B14" t="inlineStr">
        <is>
          <t>Hart Government 10.5" Carbine Length Gastube 5.56x45</t>
        </is>
      </c>
      <c r="C14" t="n">
        <v>3</v>
      </c>
      <c r="D14" t="n">
        <v>0.47</v>
      </c>
      <c r="E14" t="n">
        <v>-2</v>
      </c>
      <c r="F14" t="n">
        <v>-1</v>
      </c>
      <c r="H14" t="n">
        <v>0.17</v>
      </c>
      <c r="I14" t="n">
        <v>-0.08</v>
      </c>
      <c r="J14" t="n">
        <v>-113</v>
      </c>
      <c r="M14" t="n">
        <v>1200</v>
      </c>
      <c r="N14">
        <f>C14-D14*20-E14*0.8-F14*0.6-H14*5+I14*15+J14/300</f>
        <v/>
      </c>
      <c r="P14" t="n">
        <v>0.12</v>
      </c>
      <c r="Q14" t="n">
        <v>10.5</v>
      </c>
      <c r="S14">
        <f>ROUND(Q14*0.035+P14+R14, 2)</f>
        <v/>
      </c>
      <c r="T14" t="n">
        <v>0.02</v>
      </c>
      <c r="U14">
        <f>0.06+0.037*Q14+T14+R14</f>
        <v/>
      </c>
      <c r="V14">
        <f>0+(Q14-14.5)*-0.043</f>
        <v/>
      </c>
      <c r="X14" t="n">
        <v>299</v>
      </c>
      <c r="Y14">
        <f>X14*6</f>
        <v/>
      </c>
    </row>
    <row r="15">
      <c r="A15" t="inlineStr">
        <is>
          <t>hart_m4a1_5.56x45_190mm_govt_p_barrel</t>
        </is>
      </c>
      <c r="B15" t="inlineStr">
        <is>
          <t>Hart Government 7.5" Pistol Length Gastube 5.56x45</t>
        </is>
      </c>
      <c r="C15" t="n">
        <v>4</v>
      </c>
      <c r="D15" t="n">
        <v>0.35</v>
      </c>
      <c r="E15" t="n">
        <v>-1</v>
      </c>
      <c r="F15" t="n">
        <v>0</v>
      </c>
      <c r="H15" t="n">
        <v>0.3</v>
      </c>
      <c r="I15" t="n">
        <v>-0.13</v>
      </c>
      <c r="J15" t="n">
        <v>-266</v>
      </c>
      <c r="L15" t="n">
        <v>0.03</v>
      </c>
      <c r="M15" t="n">
        <v>1300</v>
      </c>
      <c r="N15">
        <f>C15-D15*20-E15*0.8-F15*0.6-H15*5+I15*15+J15/300</f>
        <v/>
      </c>
      <c r="P15" t="n">
        <v>0.09</v>
      </c>
      <c r="Q15" t="n">
        <v>7.5</v>
      </c>
      <c r="S15">
        <f>ROUND(Q15*0.035+P15+R15, 2)</f>
        <v/>
      </c>
      <c r="T15" t="n">
        <v>0.01</v>
      </c>
      <c r="U15">
        <f>0.06+0.037*Q15+T15+R15</f>
        <v/>
      </c>
      <c r="V15">
        <f>0+(Q15-14.5)*-0.043</f>
        <v/>
      </c>
      <c r="Y15">
        <f>X15*6</f>
        <v/>
      </c>
    </row>
    <row r="16">
      <c r="A16" t="inlineStr">
        <is>
          <t>quix_tacticals_ar15_127mm_5.56_nitride_barrel_custom_gastube</t>
        </is>
      </c>
      <c r="B16" t="inlineStr">
        <is>
          <t>Quix Tacticals AR-15 Nitride 5" Custom Length Gastube 5.56x45</t>
        </is>
      </c>
      <c r="C16" t="n">
        <v>5</v>
      </c>
      <c r="D16" t="n">
        <v>0.24</v>
      </c>
      <c r="E16" t="n">
        <v>0</v>
      </c>
      <c r="F16" t="n">
        <v>1</v>
      </c>
      <c r="H16" t="n">
        <v>0.4</v>
      </c>
      <c r="I16" t="n">
        <v>-0.18</v>
      </c>
      <c r="J16" t="n">
        <v>-450</v>
      </c>
      <c r="L16" t="n">
        <v>0.063</v>
      </c>
      <c r="M16" t="n">
        <v>1400</v>
      </c>
      <c r="N16">
        <f>C16-D16*20-E16*0.8-F16*0.6-H16*5+I16*15+J16/300</f>
        <v/>
      </c>
      <c r="P16" t="n">
        <v>0.07000000000000001</v>
      </c>
      <c r="Q16" t="n">
        <v>5</v>
      </c>
      <c r="S16">
        <f>ROUND(Q16*0.035+P16+R16, 2)</f>
        <v/>
      </c>
      <c r="T16" t="n">
        <v>0</v>
      </c>
      <c r="U16">
        <f>0.06+0.037*Q16+T16+R16</f>
        <v/>
      </c>
      <c r="V16">
        <f>0+(Q16-14.5)*-0.043</f>
        <v/>
      </c>
      <c r="X16" t="n">
        <v>149.95</v>
      </c>
      <c r="Y16">
        <f>X16*6</f>
        <v/>
      </c>
    </row>
    <row r="17">
      <c r="A17" t="inlineStr">
        <is>
          <t>custom_2inch_ar15_barrel</t>
        </is>
      </c>
      <c r="B17" t="inlineStr">
        <is>
          <t>Custom 2" AR-15 5.56x45</t>
        </is>
      </c>
      <c r="C17" t="n">
        <v>6</v>
      </c>
      <c r="D17" t="n">
        <v>0.12</v>
      </c>
      <c r="E17" t="n">
        <v>5</v>
      </c>
      <c r="F17" t="n">
        <v>5</v>
      </c>
      <c r="H17" t="n">
        <v>5</v>
      </c>
      <c r="I17" t="n">
        <v>-0.4</v>
      </c>
      <c r="J17" t="n">
        <v>-866</v>
      </c>
      <c r="L17" t="n">
        <v>0.125</v>
      </c>
      <c r="M17" t="n">
        <v>2000</v>
      </c>
      <c r="N17">
        <f>C17-D17*20-E17*0.8-F17*0.6-H17*5+I17*15+J17/300</f>
        <v/>
      </c>
      <c r="P17" t="n">
        <v>0.05</v>
      </c>
      <c r="Q17" t="n">
        <v>2</v>
      </c>
      <c r="R17" t="n">
        <v>-0.01</v>
      </c>
      <c r="S17">
        <f>ROUND(Q17*0.035+P17+R17, 2)</f>
        <v/>
      </c>
      <c r="T17" t="n">
        <v>0</v>
      </c>
      <c r="U17">
        <f>0.06+0.037*Q17+T17+R17</f>
        <v/>
      </c>
      <c r="V17">
        <f>0+(Q17-14.5)*-0.043</f>
        <v/>
      </c>
      <c r="Y17">
        <f>X17*6</f>
        <v/>
      </c>
    </row>
    <row r="18">
      <c r="N18">
        <f>C18-D18*20-E18*0.8-F18*0.6-H18*5+I18*15+J18/300</f>
        <v/>
      </c>
      <c r="U18">
        <f>0.06+0.037*Q18+T18+R18</f>
        <v/>
      </c>
      <c r="V18">
        <f>0+(Q18-14.5)*-0.043</f>
        <v/>
      </c>
    </row>
    <row r="19">
      <c r="A19" t="inlineStr">
        <is>
          <t>kf_416c_9.0i_barrel</t>
        </is>
      </c>
      <c r="B19" t="inlineStr">
        <is>
          <t>KF416C 9.0"</t>
        </is>
      </c>
      <c r="C19" t="n">
        <v>4</v>
      </c>
      <c r="D19" t="n">
        <v>0.4</v>
      </c>
      <c r="E19" t="n">
        <v>3</v>
      </c>
      <c r="F19" t="n">
        <v>3</v>
      </c>
      <c r="H19" t="n">
        <v>0.24</v>
      </c>
      <c r="I19" t="n">
        <v>-0.11</v>
      </c>
      <c r="J19" t="n">
        <v>-140</v>
      </c>
      <c r="M19" t="n">
        <v>1000</v>
      </c>
      <c r="N19">
        <f>C19-D19*20-E19*0.8-F19*0.6-H19*5+I19*15+J19/300</f>
        <v/>
      </c>
      <c r="P19" t="n">
        <v>0.04</v>
      </c>
      <c r="Q19" t="n">
        <v>9</v>
      </c>
      <c r="R19" t="n">
        <v>0.01</v>
      </c>
      <c r="S19">
        <f>ROUND(Q19*0.033+P19+R19, 2)</f>
        <v/>
      </c>
      <c r="U19">
        <f>0.06+0.037*Q19+T19+R19</f>
        <v/>
      </c>
      <c r="V19">
        <f>0+(Q19-14.5)*-0.043</f>
        <v/>
      </c>
    </row>
    <row r="20">
      <c r="A20" t="inlineStr">
        <is>
          <t>kf_416d_10.4i_barrel</t>
        </is>
      </c>
      <c r="B20" t="inlineStr">
        <is>
          <t>KF416D 10.4"</t>
        </is>
      </c>
      <c r="C20" t="n">
        <v>3</v>
      </c>
      <c r="D20" t="n">
        <v>0.46</v>
      </c>
      <c r="E20" t="n">
        <v>2</v>
      </c>
      <c r="F20" t="n">
        <v>2</v>
      </c>
      <c r="H20" t="n">
        <v>0.18</v>
      </c>
      <c r="I20" t="n">
        <v>-0.08</v>
      </c>
      <c r="J20" t="n">
        <v>-100</v>
      </c>
      <c r="M20" t="n">
        <v>1000</v>
      </c>
      <c r="N20">
        <f>C20-D20*20-E20*0.8-F20*0.6-H20*5+I20*15+J20/300</f>
        <v/>
      </c>
      <c r="P20" t="n">
        <v>0.04</v>
      </c>
      <c r="Q20" t="n">
        <v>10.4</v>
      </c>
      <c r="R20" t="n">
        <v>0.02</v>
      </c>
      <c r="S20">
        <f>ROUND(Q20*0.033+P49+R20, 2)</f>
        <v/>
      </c>
      <c r="U20">
        <f>0.06+0.037*Q20+T20+R20</f>
        <v/>
      </c>
      <c r="V20">
        <f>0+(Q20-14.5)*-0.043</f>
        <v/>
      </c>
    </row>
    <row r="21">
      <c r="A21" t="inlineStr">
        <is>
          <t>kf_416a5_11i_barrel</t>
        </is>
      </c>
      <c r="B21" t="inlineStr">
        <is>
          <t>KF416A5 11"</t>
        </is>
      </c>
      <c r="C21" t="n">
        <v>2</v>
      </c>
      <c r="D21" t="n">
        <v>0.47</v>
      </c>
      <c r="E21" t="n">
        <v>1</v>
      </c>
      <c r="F21" t="n">
        <v>1</v>
      </c>
      <c r="H21" t="n">
        <v>0.15</v>
      </c>
      <c r="I21" t="n">
        <v>-0.06</v>
      </c>
      <c r="J21" t="n">
        <v>-80</v>
      </c>
      <c r="M21" t="n">
        <v>1000</v>
      </c>
      <c r="N21">
        <f>C21-D21*20-E21*0.8-F21*0.6-H21*5+I21*15+J21/300</f>
        <v/>
      </c>
      <c r="P21" t="n">
        <v>0.04</v>
      </c>
      <c r="Q21" t="n">
        <v>11</v>
      </c>
      <c r="R21" t="n">
        <v>0</v>
      </c>
      <c r="S21">
        <f>ROUND(Q21*0.033+P50+R21, 2)</f>
        <v/>
      </c>
      <c r="U21">
        <f>0.06+0.037*Q21+T21+R21</f>
        <v/>
      </c>
      <c r="V21">
        <f>0+(Q21-14.5)*-0.043</f>
        <v/>
      </c>
    </row>
    <row r="22">
      <c r="A22" t="inlineStr">
        <is>
          <t>kf_416a5_12.5i_barrel</t>
        </is>
      </c>
      <c r="B22" t="inlineStr">
        <is>
          <t>KF416A5 12.5"</t>
        </is>
      </c>
      <c r="C22" t="n">
        <v>1</v>
      </c>
      <c r="D22" t="n">
        <v>0.52</v>
      </c>
      <c r="E22" t="n">
        <v>1</v>
      </c>
      <c r="F22" t="n">
        <v>1</v>
      </c>
      <c r="H22" t="n">
        <v>0.08</v>
      </c>
      <c r="I22" t="n">
        <v>-0.02</v>
      </c>
      <c r="J22" t="n">
        <v>-30</v>
      </c>
      <c r="M22" t="n">
        <v>1000</v>
      </c>
      <c r="N22">
        <f>C22-D22*20-E22*0.8-F22*0.6-H22*5+I22*15+J22/300</f>
        <v/>
      </c>
      <c r="P22" t="n">
        <v>0.04</v>
      </c>
      <c r="Q22" t="n">
        <v>12.5</v>
      </c>
      <c r="R22" t="n">
        <v>0</v>
      </c>
      <c r="S22">
        <f>ROUND(Q22*0.033+P51+R22, 2)</f>
        <v/>
      </c>
      <c r="U22">
        <f>0.06+0.037*Q22+T22+R22</f>
        <v/>
      </c>
      <c r="V22">
        <f>0+(Q22-14.5)*-0.043</f>
        <v/>
      </c>
    </row>
    <row r="23">
      <c r="A23" t="inlineStr">
        <is>
          <t>kf_416d_14.5i_barrel</t>
        </is>
      </c>
      <c r="B23" t="inlineStr">
        <is>
          <t>KF416D 14.5"</t>
        </is>
      </c>
      <c r="C23" t="n">
        <v>0</v>
      </c>
      <c r="D23" t="n">
        <v>0.65</v>
      </c>
      <c r="E23" t="n">
        <v>0</v>
      </c>
      <c r="F23" t="n">
        <v>0</v>
      </c>
      <c r="H23" t="n">
        <v>0</v>
      </c>
      <c r="I23" t="n">
        <v>0.03</v>
      </c>
      <c r="J23" t="n">
        <v>50</v>
      </c>
      <c r="M23" t="n">
        <v>0</v>
      </c>
      <c r="N23">
        <f>C23-D23*20-E23*0.8-F23*0.6-H23*5+I23*15+J23/300</f>
        <v/>
      </c>
      <c r="P23" t="n">
        <v>0.04</v>
      </c>
      <c r="Q23" t="n">
        <v>14.5</v>
      </c>
      <c r="R23" t="n">
        <v>0.05</v>
      </c>
      <c r="S23">
        <f>ROUND(Q23*0.033+P52+R23, 2)</f>
        <v/>
      </c>
      <c r="U23">
        <f>0.06+0.037*Q23+T23+R23</f>
        <v/>
      </c>
      <c r="V23">
        <f>0+(Q23-14.5)*-0.043</f>
        <v/>
      </c>
    </row>
    <row r="24">
      <c r="A24" t="inlineStr">
        <is>
          <t>kf_416a5_14.5i_barrel</t>
        </is>
      </c>
      <c r="B24" t="inlineStr">
        <is>
          <t>KF416A5 14.5"</t>
        </is>
      </c>
      <c r="C24" t="n">
        <v>0</v>
      </c>
      <c r="D24" t="n">
        <v>0.62</v>
      </c>
      <c r="E24" t="n">
        <v>0</v>
      </c>
      <c r="F24" t="n">
        <v>0</v>
      </c>
      <c r="H24" t="n">
        <v>-0.02</v>
      </c>
      <c r="I24" t="n">
        <v>0.03</v>
      </c>
      <c r="J24" t="n">
        <v>50</v>
      </c>
      <c r="M24" t="n">
        <v>0</v>
      </c>
      <c r="N24">
        <f>C24-D24*20-E24*0.8-F24*0.6-H24*5+I24*15+J24/300</f>
        <v/>
      </c>
      <c r="P24" t="n">
        <v>0.04</v>
      </c>
      <c r="Q24" t="n">
        <v>14.5</v>
      </c>
      <c r="R24" t="n">
        <v>0.02</v>
      </c>
      <c r="S24">
        <f>ROUND(Q24*0.033+P53+R24, 2)</f>
        <v/>
      </c>
      <c r="U24">
        <f>0.06+0.037*Q24+T24+R24</f>
        <v/>
      </c>
      <c r="V24">
        <f>0+(Q24-14.5)*-0.043</f>
        <v/>
      </c>
    </row>
    <row r="25">
      <c r="A25" t="inlineStr">
        <is>
          <t>kf_416d_16.5i_barrel</t>
        </is>
      </c>
      <c r="B25" t="inlineStr">
        <is>
          <t>KF416D 16.5"</t>
        </is>
      </c>
      <c r="C25" t="n">
        <v>-3</v>
      </c>
      <c r="D25" t="n">
        <v>0.72</v>
      </c>
      <c r="E25" t="n">
        <v>-2</v>
      </c>
      <c r="F25" t="n">
        <v>-2</v>
      </c>
      <c r="H25" t="n">
        <v>-0.08</v>
      </c>
      <c r="I25" t="n">
        <v>0.1</v>
      </c>
      <c r="J25" t="n">
        <v>100</v>
      </c>
      <c r="M25" t="n">
        <v>1000</v>
      </c>
      <c r="N25">
        <f>C25-D25*20-E25*0.8-F25*0.6-H25*5+I25*15+J25/300</f>
        <v/>
      </c>
      <c r="P25" t="n">
        <v>0.04</v>
      </c>
      <c r="Q25" t="n">
        <v>16.5</v>
      </c>
      <c r="R25" t="n">
        <v>0.05</v>
      </c>
      <c r="S25">
        <f>ROUND(Q25*0.033+P54+R25, 2)</f>
        <v/>
      </c>
      <c r="U25">
        <f>0.06+0.037*Q25+T25+R25</f>
        <v/>
      </c>
      <c r="V25">
        <f>0+(Q25-14.5)*-0.043</f>
        <v/>
      </c>
    </row>
    <row r="26">
      <c r="A26" t="inlineStr">
        <is>
          <t>kf_416a5_16.5i_barrel</t>
        </is>
      </c>
      <c r="B26" t="inlineStr">
        <is>
          <t>KF416A5 16.5"</t>
        </is>
      </c>
      <c r="C26" t="n">
        <v>-3</v>
      </c>
      <c r="D26" t="n">
        <v>0.6899999999999999</v>
      </c>
      <c r="E26" t="n">
        <v>-2</v>
      </c>
      <c r="F26" t="n">
        <v>-2</v>
      </c>
      <c r="H26" t="n">
        <v>-0.1</v>
      </c>
      <c r="I26" t="n">
        <v>0.1</v>
      </c>
      <c r="J26" t="n">
        <v>100</v>
      </c>
      <c r="M26" t="n">
        <v>1000</v>
      </c>
      <c r="N26">
        <f>C26-D26*20-E26*0.8-F26*0.6-H26*5+I26*15+J26/300</f>
        <v/>
      </c>
      <c r="P26" t="n">
        <v>0.04</v>
      </c>
      <c r="Q26" t="n">
        <v>16.5</v>
      </c>
      <c r="R26" t="n">
        <v>0.02</v>
      </c>
      <c r="S26">
        <f>ROUND(Q26*0.033+P55+R26, 2)</f>
        <v/>
      </c>
      <c r="U26">
        <f>0.06+0.037*Q26+T26+R26</f>
        <v/>
      </c>
      <c r="V26">
        <f>0+(Q26-14.5)*-0.043</f>
        <v/>
      </c>
    </row>
    <row r="27">
      <c r="A27" t="inlineStr">
        <is>
          <t>kf_416d_20i_barrel</t>
        </is>
      </c>
      <c r="B27" t="inlineStr">
        <is>
          <t>KF416D 20"</t>
        </is>
      </c>
      <c r="C27" t="n">
        <v>-7</v>
      </c>
      <c r="D27" t="n">
        <v>0.85</v>
      </c>
      <c r="E27" t="n">
        <v>-5</v>
      </c>
      <c r="F27" t="n">
        <v>-5</v>
      </c>
      <c r="H27" t="n">
        <v>-0.22</v>
      </c>
      <c r="I27" t="n">
        <v>0.21</v>
      </c>
      <c r="J27" t="n">
        <v>190</v>
      </c>
      <c r="M27" t="n">
        <v>2000</v>
      </c>
      <c r="N27">
        <f>C27-D27*20-E27*0.8-F27*0.6-H27*5+I27*15+J27/300</f>
        <v/>
      </c>
      <c r="P27" t="n">
        <v>0.04</v>
      </c>
      <c r="Q27" t="n">
        <v>20</v>
      </c>
      <c r="R27" t="n">
        <v>0.05</v>
      </c>
      <c r="S27">
        <f>ROUND(Q27*0.033+P56+R27, 2)</f>
        <v/>
      </c>
      <c r="U27">
        <f>0.06+0.037*Q27+T27+R27</f>
        <v/>
      </c>
      <c r="V27">
        <f>0+(Q27-14.5)*-0.043</f>
        <v/>
      </c>
    </row>
    <row r="28">
      <c r="A28" t="inlineStr">
        <is>
          <t>kf_416a5_20i_barrel</t>
        </is>
      </c>
      <c r="B28" t="inlineStr">
        <is>
          <t>KF416A5 20"</t>
        </is>
      </c>
      <c r="C28" t="n">
        <v>-7</v>
      </c>
      <c r="D28" t="n">
        <v>0.82</v>
      </c>
      <c r="E28" t="n">
        <v>-5</v>
      </c>
      <c r="F28" t="n">
        <v>-5</v>
      </c>
      <c r="H28" t="n">
        <v>-0.24</v>
      </c>
      <c r="I28" t="n">
        <v>0.21</v>
      </c>
      <c r="J28" t="n">
        <v>190</v>
      </c>
      <c r="M28" t="n">
        <v>2000</v>
      </c>
      <c r="N28">
        <f>C28-D28*20-E28*0.8-F28*0.6-H28*5+I28*15+J28/300</f>
        <v/>
      </c>
      <c r="P28" t="n">
        <v>0.04</v>
      </c>
      <c r="Q28" t="n">
        <v>20</v>
      </c>
      <c r="R28" t="n">
        <v>0.02</v>
      </c>
      <c r="S28">
        <f>ROUND(Q28*0.033+P57+R28, 2)</f>
        <v/>
      </c>
      <c r="U28">
        <f>0.06+0.037*Q28+T28+R28</f>
        <v/>
      </c>
      <c r="V28">
        <f>0+(Q28-14.5)*-0.043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>
        <f>C29-D29*20-E29*0.8-F29*0.6-H29*5+I29*15+J29/300</f>
        <v/>
      </c>
      <c r="S29">
        <f>ROUND(Q29*0.033+P29+R29, 2)</f>
        <v/>
      </c>
      <c r="U29">
        <f>0.06+0.037*Q29+T29+R29</f>
        <v/>
      </c>
      <c r="V29">
        <f>0+(Q29-14.5)*-0.043</f>
        <v/>
      </c>
    </row>
    <row r="30">
      <c r="A30" s="1" t="inlineStr">
        <is>
          <t>steyr_aug_hbar_620mm_heavy_barrel</t>
        </is>
      </c>
      <c r="B30" s="1" t="inlineStr">
        <is>
          <t>Löwenhurz AUG HBAR 24.4"</t>
        </is>
      </c>
      <c r="C30" s="1" t="n">
        <v>-10</v>
      </c>
      <c r="D30" s="1" t="n">
        <v>1.15</v>
      </c>
      <c r="E30" s="1" t="n">
        <v>-9</v>
      </c>
      <c r="F30" s="1" t="n">
        <v>-9</v>
      </c>
      <c r="G30" s="1" t="n"/>
      <c r="H30" s="1" t="n">
        <v>-0.12</v>
      </c>
      <c r="I30" s="1" t="n">
        <v>0.21</v>
      </c>
      <c r="J30" s="1" t="n">
        <v>269</v>
      </c>
      <c r="K30" s="1" t="n"/>
      <c r="L30" s="1" t="n"/>
      <c r="M30" s="1" t="n">
        <v>2000</v>
      </c>
      <c r="N30">
        <f>C30-D30*20-E30*0.8-F30*0.6-H30*5+I30*15+J30/300</f>
        <v/>
      </c>
      <c r="P30" t="n">
        <v>0.1</v>
      </c>
      <c r="Q30" t="n">
        <v>24.4094</v>
      </c>
      <c r="R30" t="n">
        <v>0.1</v>
      </c>
      <c r="S30">
        <f>ROUND(Q30*0.033+P30+R30, 2)</f>
        <v/>
      </c>
      <c r="U30">
        <f>0.06+0.037*Q30+T30+R30</f>
        <v/>
      </c>
      <c r="V30">
        <f>0+(Q30-14.5)*-0.043</f>
        <v/>
      </c>
    </row>
    <row r="31">
      <c r="A31" s="1" t="inlineStr">
        <is>
          <t>steyr_aug_508mm_barrel</t>
        </is>
      </c>
      <c r="B31" s="1" t="inlineStr">
        <is>
          <t>Löwenherz AUG A3 5.56x45 508mm</t>
        </is>
      </c>
      <c r="C31" s="1" t="n">
        <v>-4</v>
      </c>
      <c r="D31" s="1" t="n">
        <v>0.8</v>
      </c>
      <c r="E31" s="1" t="n">
        <v>-5</v>
      </c>
      <c r="F31" s="1" t="n">
        <v>-5</v>
      </c>
      <c r="G31" s="1" t="n"/>
      <c r="H31" s="1" t="n">
        <v>-0.24</v>
      </c>
      <c r="I31" s="1" t="n">
        <v>0.21</v>
      </c>
      <c r="J31" s="1" t="n">
        <v>179</v>
      </c>
      <c r="K31" s="1" t="n"/>
      <c r="L31" s="1" t="n"/>
      <c r="M31" s="1" t="n">
        <v>1000</v>
      </c>
      <c r="N31">
        <f>C31-D31*20-E31*0.8-F31*0.6-H31*5+I31*15+J31/300</f>
        <v/>
      </c>
      <c r="P31" t="n">
        <v>0.1</v>
      </c>
      <c r="Q31" t="n">
        <v>20</v>
      </c>
      <c r="S31">
        <f>ROUND(Q31*0.033+P31+R31, 2)</f>
        <v/>
      </c>
      <c r="U31">
        <f>0.06+0.037*Q31+T31+R31</f>
        <v/>
      </c>
      <c r="V31">
        <f>0+(Q31-14.5)*-0.043</f>
        <v/>
      </c>
    </row>
    <row r="32">
      <c r="A32" s="1" t="inlineStr">
        <is>
          <t>steyr_aug_457mm_barrel</t>
        </is>
      </c>
      <c r="B32" s="1" t="inlineStr">
        <is>
          <t>Löwenherz AUG A3 5.56x45 457mm</t>
        </is>
      </c>
      <c r="C32" s="1" t="n">
        <v>-2</v>
      </c>
      <c r="D32" s="1" t="n">
        <v>0.72</v>
      </c>
      <c r="E32" s="1" t="n">
        <v>-3</v>
      </c>
      <c r="F32" s="1" t="n">
        <v>-3</v>
      </c>
      <c r="G32" s="1" t="n"/>
      <c r="H32" s="1" t="n">
        <v>-0.15</v>
      </c>
      <c r="I32" s="1" t="n">
        <v>0.15</v>
      </c>
      <c r="J32" s="1" t="n">
        <v>131</v>
      </c>
      <c r="K32" s="1" t="n"/>
      <c r="L32" s="1" t="n"/>
      <c r="M32" s="1" t="n">
        <v>750</v>
      </c>
      <c r="N32">
        <f>C32-D32*20-E32*0.8-F32*0.6-H32*5+I32*15+J32/300</f>
        <v/>
      </c>
      <c r="P32" t="n">
        <v>0.1</v>
      </c>
      <c r="Q32" t="n">
        <v>17.9921</v>
      </c>
      <c r="S32">
        <f>ROUND(Q32*0.033+P32+R32, 2)</f>
        <v/>
      </c>
      <c r="U32">
        <f>0.06+0.037*Q32+T32+R32</f>
        <v/>
      </c>
      <c r="V32">
        <f>0+(Q32-14.5)*-0.043</f>
        <v/>
      </c>
    </row>
    <row r="33">
      <c r="A33" s="1" t="inlineStr">
        <is>
          <t>steyr_aug_407mm_barrel</t>
        </is>
      </c>
      <c r="B33" s="1" t="inlineStr">
        <is>
          <t>Löwenherz AUG A3 5.56x45 407mm</t>
        </is>
      </c>
      <c r="C33" s="1" t="n">
        <v>0</v>
      </c>
      <c r="D33" s="1" t="n">
        <v>0.65</v>
      </c>
      <c r="E33" s="1" t="n">
        <v>-1</v>
      </c>
      <c r="F33" s="1" t="n">
        <v>-1</v>
      </c>
      <c r="G33" s="1" t="n"/>
      <c r="H33" s="1" t="n">
        <v>-0.06</v>
      </c>
      <c r="I33" s="1" t="n">
        <v>0.1</v>
      </c>
      <c r="J33" s="1" t="n">
        <v>79</v>
      </c>
      <c r="K33" s="1" t="n"/>
      <c r="L33" s="1" t="n"/>
      <c r="M33" s="1" t="n">
        <v>0</v>
      </c>
      <c r="N33">
        <f>C33-D33*20-E33*0.8-F33*0.6-H33*5+I33*15+J33/300</f>
        <v/>
      </c>
      <c r="P33" t="n">
        <v>0.1</v>
      </c>
      <c r="Q33" t="n">
        <v>16.0236</v>
      </c>
      <c r="S33">
        <f>ROUND(Q33*0.033+P33+R33, 2)</f>
        <v/>
      </c>
      <c r="U33">
        <f>0.06+0.037*Q33+T33+R33</f>
        <v/>
      </c>
      <c r="V33">
        <f>0+(Q33-14.5)*-0.043</f>
        <v/>
      </c>
    </row>
    <row r="34">
      <c r="A34" s="1" t="inlineStr">
        <is>
          <t>steyr_aug_350mm_barrel</t>
        </is>
      </c>
      <c r="B34" s="1" t="inlineStr">
        <is>
          <t>Löwenherz AUG A3 5.56x45 350mm</t>
        </is>
      </c>
      <c r="C34" s="1" t="n">
        <v>2</v>
      </c>
      <c r="D34" s="1" t="n">
        <v>0.57</v>
      </c>
      <c r="E34" s="1" t="n">
        <v>0</v>
      </c>
      <c r="F34" s="1" t="n">
        <v>0</v>
      </c>
      <c r="G34" s="1" t="n"/>
      <c r="H34" s="1" t="n">
        <v>0.03</v>
      </c>
      <c r="I34" s="1" t="n">
        <v>0.01</v>
      </c>
      <c r="J34" s="1" t="n">
        <v>10</v>
      </c>
      <c r="K34" s="1" t="n"/>
      <c r="L34" s="1" t="n"/>
      <c r="M34" s="1" t="n">
        <v>600</v>
      </c>
      <c r="N34">
        <f>C34-D34*20-E34*0.8-F34*0.6-H34*5+I34*15+J34/300</f>
        <v/>
      </c>
      <c r="P34" t="n">
        <v>0.1</v>
      </c>
      <c r="Q34" t="n">
        <v>13.7795</v>
      </c>
      <c r="S34">
        <f>ROUND(Q34*0.033+P34+R34, 2)</f>
        <v/>
      </c>
      <c r="U34">
        <f>0.06+0.037*Q34+T34+R34</f>
        <v/>
      </c>
      <c r="V34">
        <f>0+(Q34-14.5)*-0.043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>
        <f>C35-D35*20-E35*0.8-F35*0.6-H35*5+I35*15+J35/300</f>
        <v/>
      </c>
      <c r="S35">
        <f>ROUND(Q35*0.033+P35+R35, 2)</f>
        <v/>
      </c>
      <c r="U35">
        <f>0.06+0.037*Q35+T35+R35</f>
        <v/>
      </c>
      <c r="V35">
        <f>0+(Q35-14.5)*-0.043</f>
        <v/>
      </c>
    </row>
    <row r="36">
      <c r="A36" s="1" t="inlineStr">
        <is>
          <t>aft_mk_16_457mm_barrel</t>
        </is>
      </c>
      <c r="B36" s="1" t="inlineStr">
        <is>
          <t>AFT MK-16 457mm</t>
        </is>
      </c>
      <c r="C36" s="1" t="n">
        <v>-5</v>
      </c>
      <c r="D36" s="1" t="n">
        <v>0.73</v>
      </c>
      <c r="E36" s="1" t="n">
        <v>-4</v>
      </c>
      <c r="F36" s="1" t="n">
        <v>-4</v>
      </c>
      <c r="G36" s="1" t="n"/>
      <c r="H36" s="1" t="n">
        <v>-0.15</v>
      </c>
      <c r="I36" s="1" t="n">
        <v>0.16</v>
      </c>
      <c r="J36" s="1" t="n">
        <v>131</v>
      </c>
      <c r="K36" s="1" t="n"/>
      <c r="L36" s="1" t="n"/>
      <c r="M36" s="1" t="n">
        <v>1500</v>
      </c>
      <c r="N36">
        <f>C36-D36*20-E36*0.8-F36*0.6-H36*5+I36*15+J36/300</f>
        <v/>
      </c>
      <c r="P36" t="n">
        <v>0.14</v>
      </c>
      <c r="Q36" t="n">
        <v>17.9921</v>
      </c>
      <c r="S36">
        <f>ROUND(Q36*0.033+P36+R36, 2)</f>
        <v/>
      </c>
      <c r="U36">
        <f>0.06+0.037*Q36+T36+R36</f>
        <v/>
      </c>
      <c r="V36">
        <f>0+(Q36-14.5)*-0.043</f>
        <v/>
      </c>
    </row>
    <row r="37">
      <c r="A37" s="1" t="inlineStr">
        <is>
          <t>aft_mk_16_355mm_barrel</t>
        </is>
      </c>
      <c r="B37" s="1" t="inlineStr">
        <is>
          <t>AFT MK-16 355mm</t>
        </is>
      </c>
      <c r="C37" s="1" t="n">
        <v>0</v>
      </c>
      <c r="D37" s="1" t="n">
        <v>0.6</v>
      </c>
      <c r="E37" s="1" t="n">
        <v>0</v>
      </c>
      <c r="F37" s="1" t="n">
        <v>0</v>
      </c>
      <c r="G37" s="1" t="n"/>
      <c r="H37" s="1" t="n">
        <v>0.02</v>
      </c>
      <c r="I37" s="1" t="n">
        <v>0.02</v>
      </c>
      <c r="J37" s="1" t="n">
        <v>17</v>
      </c>
      <c r="K37" s="1" t="n"/>
      <c r="L37" s="1" t="n"/>
      <c r="M37" s="1" t="n">
        <v>0</v>
      </c>
      <c r="N37">
        <f>C37-D37*20-E37*0.8-F37*0.6-H37*5+I37*15+J37/300</f>
        <v/>
      </c>
      <c r="P37" t="n">
        <v>0.14</v>
      </c>
      <c r="Q37" t="n">
        <v>13.9764</v>
      </c>
      <c r="S37">
        <f>ROUND(Q37*0.033+P37+R37, 2)</f>
        <v/>
      </c>
      <c r="U37">
        <f>0.06+0.037*Q37+T37+R37</f>
        <v/>
      </c>
      <c r="V37">
        <f>0+(Q37-14.5)*-0.043</f>
        <v/>
      </c>
    </row>
    <row r="38">
      <c r="A38" s="1" t="inlineStr">
        <is>
          <t>aft_mk_16_254mm_barrel</t>
        </is>
      </c>
      <c r="B38" s="1" t="inlineStr">
        <is>
          <t>AFT MK-16 254mm</t>
        </is>
      </c>
      <c r="C38" s="1" t="n">
        <v>2</v>
      </c>
      <c r="D38" s="1" t="n">
        <v>0.47</v>
      </c>
      <c r="E38" s="1" t="n">
        <v>1</v>
      </c>
      <c r="F38" s="1" t="n">
        <v>1</v>
      </c>
      <c r="G38" s="1" t="n"/>
      <c r="H38" s="1" t="n">
        <v>0.2</v>
      </c>
      <c r="I38" s="1" t="n">
        <v>-0.08</v>
      </c>
      <c r="J38" s="1" t="n">
        <v>-135</v>
      </c>
      <c r="K38" s="1" t="n"/>
      <c r="L38" s="1" t="n"/>
      <c r="M38" s="1" t="n">
        <v>1200</v>
      </c>
      <c r="N38">
        <f>C38-D38*20-E38*0.8-F38*0.6-H38*5+I38*15+J38/300</f>
        <v/>
      </c>
      <c r="P38" t="n">
        <v>0.14</v>
      </c>
      <c r="Q38" t="n">
        <v>10</v>
      </c>
      <c r="S38">
        <f>ROUND(Q38*0.033+P38+R38, 2)</f>
        <v/>
      </c>
      <c r="U38">
        <f>0.06+0.037*Q38+T38+R38</f>
        <v/>
      </c>
      <c r="V38">
        <f>0+(Q38-14.5)*-0.043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>
        <f>C39-D39*20-E39*0.8-F39*0.6-H39*5+I39*15+J39/300</f>
        <v/>
      </c>
      <c r="S39">
        <f>ROUND(Q39*0.033+P39+R39, 2)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2024-08-19T23:38:21Z</dcterms:created>
  <dcterms:modified xsi:type="dcterms:W3CDTF">2026-08-04T01:22:28Z</dcterms:modified>
  <cp:lastModifiedBy>Wen, Yifan  (Student)</cp:lastModifiedBy>
</cp:coreProperties>
</file>