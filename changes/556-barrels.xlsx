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hyth\Documents\GitHub\deadline-balancing\changes\"/>
    </mc:Choice>
  </mc:AlternateContent>
  <xr:revisionPtr revIDLastSave="0" documentId="13_ncr:1_{11D4EBDB-C5BE-4EFF-926B-F47ED87810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4-barr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8" i="1" l="1"/>
  <c r="O35" i="1"/>
  <c r="O36" i="1"/>
  <c r="O37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9" i="1"/>
  <c r="O20" i="1"/>
  <c r="O21" i="1"/>
  <c r="O22" i="1"/>
  <c r="O23" i="1"/>
  <c r="O24" i="1"/>
  <c r="O25" i="1"/>
  <c r="O26" i="1"/>
  <c r="O27" i="1"/>
  <c r="O28" i="1"/>
  <c r="O30" i="1"/>
  <c r="O31" i="1"/>
  <c r="O32" i="1"/>
  <c r="O33" i="1"/>
  <c r="O34" i="1"/>
  <c r="O3" i="1"/>
  <c r="T43" i="1"/>
  <c r="O43" i="1"/>
  <c r="W42" i="1"/>
  <c r="V42" i="1"/>
  <c r="T42" i="1"/>
  <c r="O42" i="1"/>
  <c r="W41" i="1"/>
  <c r="V41" i="1"/>
  <c r="T41" i="1"/>
  <c r="O41" i="1"/>
  <c r="W40" i="1"/>
  <c r="V40" i="1"/>
  <c r="T40" i="1"/>
  <c r="O40" i="1"/>
  <c r="W39" i="1"/>
  <c r="V39" i="1"/>
  <c r="T39" i="1"/>
  <c r="O39" i="1"/>
  <c r="W34" i="1"/>
  <c r="V34" i="1"/>
  <c r="T34" i="1"/>
  <c r="W33" i="1"/>
  <c r="V33" i="1"/>
  <c r="T33" i="1"/>
  <c r="W32" i="1"/>
  <c r="V32" i="1"/>
  <c r="T32" i="1"/>
  <c r="W31" i="1"/>
  <c r="V31" i="1"/>
  <c r="T31" i="1"/>
  <c r="W30" i="1"/>
  <c r="V30" i="1"/>
  <c r="T30" i="1"/>
  <c r="W29" i="1"/>
  <c r="V29" i="1"/>
  <c r="T29" i="1"/>
  <c r="W28" i="1"/>
  <c r="V28" i="1"/>
  <c r="T28" i="1"/>
  <c r="W27" i="1"/>
  <c r="V27" i="1"/>
  <c r="T27" i="1"/>
  <c r="W26" i="1"/>
  <c r="V26" i="1"/>
  <c r="T26" i="1"/>
  <c r="W25" i="1"/>
  <c r="V25" i="1"/>
  <c r="T25" i="1"/>
  <c r="W24" i="1"/>
  <c r="V24" i="1"/>
  <c r="T24" i="1"/>
  <c r="W23" i="1"/>
  <c r="V23" i="1"/>
  <c r="T23" i="1"/>
  <c r="W22" i="1"/>
  <c r="V22" i="1"/>
  <c r="T22" i="1"/>
  <c r="W21" i="1"/>
  <c r="V21" i="1"/>
  <c r="T21" i="1"/>
  <c r="W20" i="1"/>
  <c r="V20" i="1"/>
  <c r="T20" i="1"/>
  <c r="W19" i="1"/>
  <c r="V19" i="1"/>
  <c r="T19" i="1"/>
  <c r="W18" i="1"/>
  <c r="V18" i="1"/>
  <c r="Z17" i="1"/>
  <c r="W17" i="1"/>
  <c r="V17" i="1"/>
  <c r="T17" i="1"/>
  <c r="Z16" i="1"/>
  <c r="W16" i="1"/>
  <c r="V16" i="1"/>
  <c r="T16" i="1"/>
  <c r="Z15" i="1"/>
  <c r="W15" i="1"/>
  <c r="V15" i="1"/>
  <c r="T15" i="1"/>
  <c r="Z14" i="1"/>
  <c r="W14" i="1"/>
  <c r="V14" i="1"/>
  <c r="T14" i="1"/>
  <c r="Z13" i="1"/>
  <c r="W13" i="1"/>
  <c r="V13" i="1"/>
  <c r="T13" i="1"/>
  <c r="Z12" i="1"/>
  <c r="W12" i="1"/>
  <c r="V12" i="1"/>
  <c r="T12" i="1"/>
  <c r="W11" i="1"/>
  <c r="V11" i="1"/>
  <c r="T11" i="1"/>
  <c r="Z10" i="1"/>
  <c r="W10" i="1"/>
  <c r="V10" i="1"/>
  <c r="T10" i="1"/>
  <c r="Z9" i="1"/>
  <c r="W9" i="1"/>
  <c r="V9" i="1"/>
  <c r="T9" i="1"/>
  <c r="Z8" i="1"/>
  <c r="W8" i="1"/>
  <c r="V8" i="1"/>
  <c r="T8" i="1"/>
  <c r="Z7" i="1"/>
  <c r="W7" i="1"/>
  <c r="V7" i="1"/>
  <c r="T7" i="1"/>
  <c r="Z6" i="1"/>
  <c r="W6" i="1"/>
  <c r="V6" i="1"/>
  <c r="T6" i="1"/>
  <c r="Z5" i="1"/>
  <c r="W5" i="1"/>
  <c r="V5" i="1"/>
  <c r="T5" i="1"/>
  <c r="Z4" i="1"/>
  <c r="W4" i="1"/>
  <c r="V4" i="1"/>
  <c r="T4" i="1"/>
  <c r="Z3" i="1"/>
  <c r="W3" i="1"/>
  <c r="V3" i="1"/>
  <c r="T3" i="1"/>
  <c r="AB4" i="1" l="1"/>
</calcChain>
</file>

<file path=xl/sharedStrings.xml><?xml version="1.0" encoding="utf-8"?>
<sst xmlns="http://schemas.openxmlformats.org/spreadsheetml/2006/main" count="98" uniqueCount="98">
  <si>
    <t>new</t>
  </si>
  <si>
    <t>name</t>
  </si>
  <si>
    <t>pretty_name</t>
  </si>
  <si>
    <t>ergonomics</t>
  </si>
  <si>
    <t>weight</t>
  </si>
  <si>
    <t>horizontal_recoil</t>
  </si>
  <si>
    <t>vertical_recoil</t>
  </si>
  <si>
    <t>magazine_capacity</t>
  </si>
  <si>
    <t>barrel_deviation</t>
  </si>
  <si>
    <t>bullet_damage</t>
  </si>
  <si>
    <t>bullet_velocity</t>
  </si>
  <si>
    <t>buck_barrel_deviation</t>
  </si>
  <si>
    <t>fire_rate</t>
  </si>
  <si>
    <t>price</t>
  </si>
  <si>
    <t>strength</t>
  </si>
  <si>
    <t>base</t>
  </si>
  <si>
    <t>length</t>
  </si>
  <si>
    <t>mod</t>
  </si>
  <si>
    <t>old weight</t>
  </si>
  <si>
    <t>gas</t>
  </si>
  <si>
    <t>new weight</t>
  </si>
  <si>
    <t>dev</t>
  </si>
  <si>
    <t>irl price</t>
  </si>
  <si>
    <t>cmmg_ar_15_5.56x45_610mm_fluted_r_barrel</t>
  </si>
  <si>
    <t>CmmG 24" Fluted AR-15 Rifle Length Gastube 5.56x45</t>
  </si>
  <si>
    <t>whtnls_a1_m4a1_5.56x45_508mm_govt_r_barrel</t>
  </si>
  <si>
    <t>Whitnalls A1 Government 20" Rifle Length Gastube 5.56x45</t>
  </si>
  <si>
    <t>whtnls_m4a1_5.56x45_508mm_hbar_r_barrel</t>
  </si>
  <si>
    <t>Whitnalls HBAR 20" Rifle Length Gastube 5.56x45</t>
  </si>
  <si>
    <t>ex_call_ar_15_.223wylde_457mm_spiral_6groove_m_barrel</t>
  </si>
  <si>
    <t>Ex-Call Custom 18" Spiral 6 Groove Mid Length Gastube .223 Wylde</t>
  </si>
  <si>
    <t>whtnls_m4a1_5.56x45_406mm_govt_m_barrel</t>
  </si>
  <si>
    <t>Whitnalls Government 16" Mid Length Gastube 5.56x45</t>
  </si>
  <si>
    <t>whtnls_m4a1_5.56x45_406mm_socom_c_barrel</t>
  </si>
  <si>
    <t>Whitnalls Socom 16" Carbine Length Gastube 5.56x45</t>
  </si>
  <si>
    <t>hart_m4a1_5.56x45_368mm_socom_c_barrel</t>
  </si>
  <si>
    <t>Hart Socom 14.5" Carbine Length Gastube 5.56x45</t>
  </si>
  <si>
    <t>hart_m4a1_5.56x45_368mm_govt_c_barrel</t>
  </si>
  <si>
    <t>Hart Government 14.5" Carbine Length Gastube 5.56x45</t>
  </si>
  <si>
    <t>pac_ks1_5.56x45_348mm_heavy_dimpled_m_barrel</t>
  </si>
  <si>
    <t>PAC KS-1 (L403A1) Heavy Dimpled 13.7" Mid Length Gastube 5.56x45</t>
  </si>
  <si>
    <t>hart_m4a1_5.56x45_317mm_govt_c_barrel</t>
  </si>
  <si>
    <t>Hart Government 12.5" Carbine Length Gastube 5.56x45</t>
  </si>
  <si>
    <t>primabarrels_ar15_modern_series_5.56x45_292mm_govt_c_barrel</t>
  </si>
  <si>
    <t>PrimaBarrels Modern Series Government 11.5" Carbine Length Gastube 5.56x45</t>
  </si>
  <si>
    <t>hart_m4a1_5.56x45_267mm_govt_c_barrel</t>
  </si>
  <si>
    <t>Hart Government 10.5" Carbine Length Gastube 5.56x45</t>
  </si>
  <si>
    <t>hart_m4a1_5.56x45_190mm_govt_p_barrel</t>
  </si>
  <si>
    <t>Hart Government 7.5" Pistol Length Gastube 5.56x45</t>
  </si>
  <si>
    <t>quix_tacticals_ar15_127mm_5.56_nitride_barrel_custom_gastube</t>
  </si>
  <si>
    <t>Quix Tacticals AR-15 Nitride 5" Custom Length Gastube 5.56x45</t>
  </si>
  <si>
    <t>custom_2inch_ar15_barrel</t>
  </si>
  <si>
    <t>Custom 2" AR-15 5.56x45</t>
  </si>
  <si>
    <t>kf_416c_9.0i_barrel</t>
  </si>
  <si>
    <t>KF416C 9.0"</t>
  </si>
  <si>
    <t>kf_416d_10.4i_barrel</t>
  </si>
  <si>
    <t>KF416D 10.4"</t>
  </si>
  <si>
    <t>kf_416a5_11i_barrel</t>
  </si>
  <si>
    <t>KF416A5 11"</t>
  </si>
  <si>
    <t>kf_416a5_12.5i_barrel</t>
  </si>
  <si>
    <t>KF416A5 12.5"</t>
  </si>
  <si>
    <t>kf_416d_14.5i_barrel</t>
  </si>
  <si>
    <t>KF416D 14.5"</t>
  </si>
  <si>
    <t>kf_416a5_14.5i_barrel</t>
  </si>
  <si>
    <t>KF416A5 14.5"</t>
  </si>
  <si>
    <t>kf_416d_16.5i_barrel</t>
  </si>
  <si>
    <t>KF416D 16.5"</t>
  </si>
  <si>
    <t>kf_416a5_16.5i_barrel</t>
  </si>
  <si>
    <t>KF416A5 16.5"</t>
  </si>
  <si>
    <t>kf_416d_20i_barrel</t>
  </si>
  <si>
    <t>KF416D 20"</t>
  </si>
  <si>
    <t>kf_416a5_20i_barrel</t>
  </si>
  <si>
    <t>KF416A5 20"</t>
  </si>
  <si>
    <t>lowenhurz_aug_hbar_620mm_heavy_barrel</t>
  </si>
  <si>
    <t>steyr_aug_508mm_barrel</t>
  </si>
  <si>
    <t>steyr_aug_457mm_barrel</t>
  </si>
  <si>
    <t>steyr_aug_407mm_barrel</t>
  </si>
  <si>
    <t>steyr_aug_350mm_barrel</t>
  </si>
  <si>
    <t>aft_mk_16_457mm_barrel</t>
  </si>
  <si>
    <t>AFT MK-16 457mm</t>
  </si>
  <si>
    <t>aft_mk_16_355mm_barrel</t>
  </si>
  <si>
    <t>AFT MK-16 355mm</t>
  </si>
  <si>
    <t>aft_mk_16_254mm_barrel</t>
  </si>
  <si>
    <t>AFT MK-16 254mm</t>
  </si>
  <si>
    <t>steyr_aug_nato_350mm_barrel</t>
  </si>
  <si>
    <t>Löwenherz AUG A3 NATO 5.56x45 350mm</t>
  </si>
  <si>
    <t>steyr_aug_nato_407mm_barrel</t>
  </si>
  <si>
    <t>Löwenherz AUG A3 NATO 5.56x45 407mm</t>
  </si>
  <si>
    <t>steyr_aug_nato_457mm_barrel</t>
  </si>
  <si>
    <t>Löwenherz AUG A3 NATO 5.56x45 457mm</t>
  </si>
  <si>
    <t>steyr_aug_nato_508mm_barrel</t>
  </si>
  <si>
    <t>Löwenherz AUG A3 NATO 5.56x45 508mm</t>
  </si>
  <si>
    <t>Löwenherz AUG HBAR 620mm</t>
  </si>
  <si>
    <t>Löwenherz AUG A3 Standard 5.56x45 350mm</t>
  </si>
  <si>
    <t>Löwenherz AUG A3 Standard 5.56x45 407mm</t>
  </si>
  <si>
    <t>Löwenherz AUG A3 Standard 5.56x45 457mm</t>
  </si>
  <si>
    <t>Löwenherz AUG A3 Standard 5.56x45 508mm</t>
  </si>
  <si>
    <t>muzzle_loudness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</si>
</sst>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0"/>
  <sheetViews>
    <sheetView tabSelected="1" zoomScale="126" zoomScaleNormal="130" workbookViewId="0">
      <selection sqref="A1:AB43"/>
    </sheetView>
  </sheetViews>
  <sheetFormatPr defaultColWidth="8.7109375" defaultRowHeight="15" x14ac:dyDescent="0.25"/>
  <cols>
    <col min="1" max="1" width="29.42578125" customWidth="1"/>
    <col min="2" max="2" width="27.140625" customWidth="1"/>
    <col min="3" max="26" width="6.7109375" customWidth="1"/>
  </cols>
  <sheetData>
    <row r="1" spans="1:28" x14ac:dyDescent="0.25">
      <c r="C1" t="s">
        <v>0</v>
      </c>
    </row>
    <row r="2" spans="1:2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97</v>
      </c>
      <c r="N2" t="s">
        <v>13</v>
      </c>
      <c r="O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Y2" t="s">
        <v>22</v>
      </c>
    </row>
    <row r="3" spans="1:28" x14ac:dyDescent="0.25">
      <c r="A3" t="s">
        <v>23</v>
      </c>
      <c r="B3" t="s">
        <v>24</v>
      </c>
      <c r="C3">
        <v>-12</v>
      </c>
      <c r="D3">
        <v>0.97</v>
      </c>
      <c r="E3">
        <v>-16</v>
      </c>
      <c r="F3">
        <v>-16</v>
      </c>
      <c r="H3">
        <v>-0.32</v>
      </c>
      <c r="I3">
        <v>0.3</v>
      </c>
      <c r="J3">
        <v>262</v>
      </c>
      <c r="L3">
        <v>-0.06</v>
      </c>
      <c r="N3">
        <v>5000</v>
      </c>
      <c r="O3">
        <f>C3-D3*20-E3*0.8-F3*0.6-H3*10+I3*15+J3/200-M3*5</f>
        <v>1.0000000000002007E-2</v>
      </c>
      <c r="Q3">
        <v>0.18</v>
      </c>
      <c r="R3">
        <v>24</v>
      </c>
      <c r="S3">
        <v>0</v>
      </c>
      <c r="T3">
        <f t="shared" ref="T3:T17" si="0">ROUND(R3*0.035+Q3+S3, 2)</f>
        <v>1.02</v>
      </c>
      <c r="U3" s="1">
        <v>0.04</v>
      </c>
      <c r="V3">
        <f t="shared" ref="V3:V42" si="1">0.06+0.037*R3+U3+S3</f>
        <v>0.98799999999999999</v>
      </c>
      <c r="W3">
        <f t="shared" ref="W3:W42" si="2">0+(R3-14.5)*-0.043</f>
        <v>-0.40849999999999997</v>
      </c>
      <c r="Y3">
        <v>349.95</v>
      </c>
      <c r="Z3">
        <f t="shared" ref="Z3:Z10" si="3">Y3*6</f>
        <v>2099.6999999999998</v>
      </c>
    </row>
    <row r="4" spans="1:28" x14ac:dyDescent="0.25">
      <c r="A4" t="s">
        <v>25</v>
      </c>
      <c r="B4" t="s">
        <v>26</v>
      </c>
      <c r="C4">
        <v>-9</v>
      </c>
      <c r="D4">
        <v>0.84</v>
      </c>
      <c r="E4">
        <v>-10</v>
      </c>
      <c r="F4">
        <v>-10</v>
      </c>
      <c r="H4">
        <v>-0.24</v>
      </c>
      <c r="I4">
        <v>0.21</v>
      </c>
      <c r="J4">
        <v>179</v>
      </c>
      <c r="L4">
        <v>-0.06</v>
      </c>
      <c r="N4">
        <v>1600</v>
      </c>
      <c r="O4">
        <f>C4-D4*20-E4*0.8-F4*0.6-H4*10+I4*15+J4/200-M4*5</f>
        <v>-5.3550000000000004</v>
      </c>
      <c r="Q4">
        <v>0.18</v>
      </c>
      <c r="R4">
        <v>20</v>
      </c>
      <c r="T4">
        <f t="shared" si="0"/>
        <v>0.88</v>
      </c>
      <c r="U4">
        <v>0.04</v>
      </c>
      <c r="V4">
        <f t="shared" si="1"/>
        <v>0.84000000000000008</v>
      </c>
      <c r="W4">
        <f t="shared" si="2"/>
        <v>-0.23649999999999999</v>
      </c>
      <c r="Y4">
        <v>344.99</v>
      </c>
      <c r="Z4">
        <f t="shared" si="3"/>
        <v>2069.94</v>
      </c>
      <c r="AB4">
        <f>T7/T4</f>
        <v>0.80681818181818177</v>
      </c>
    </row>
    <row r="5" spans="1:28" x14ac:dyDescent="0.25">
      <c r="A5" t="s">
        <v>27</v>
      </c>
      <c r="B5" t="s">
        <v>28</v>
      </c>
      <c r="C5">
        <v>-10</v>
      </c>
      <c r="D5">
        <v>0.94</v>
      </c>
      <c r="E5">
        <v>-12</v>
      </c>
      <c r="F5">
        <v>-12</v>
      </c>
      <c r="H5">
        <v>-0.22</v>
      </c>
      <c r="I5">
        <v>0.21</v>
      </c>
      <c r="J5">
        <v>191</v>
      </c>
      <c r="L5">
        <v>-0.06</v>
      </c>
      <c r="N5">
        <v>2000</v>
      </c>
      <c r="O5">
        <f>C5-D5*20-E5*0.8-F5*0.6-H5*10+I5*15+J5/200-M5*5</f>
        <v>-5.6949999999999967</v>
      </c>
      <c r="Q5">
        <v>0.18</v>
      </c>
      <c r="R5">
        <v>20</v>
      </c>
      <c r="S5">
        <v>0.1</v>
      </c>
      <c r="T5">
        <f t="shared" si="0"/>
        <v>0.98</v>
      </c>
      <c r="U5">
        <v>0.04</v>
      </c>
      <c r="V5">
        <f t="shared" si="1"/>
        <v>0.94000000000000006</v>
      </c>
      <c r="W5">
        <f t="shared" si="2"/>
        <v>-0.23649999999999999</v>
      </c>
      <c r="Y5">
        <v>349.99</v>
      </c>
      <c r="Z5">
        <f t="shared" si="3"/>
        <v>2099.94</v>
      </c>
    </row>
    <row r="6" spans="1:28" x14ac:dyDescent="0.25">
      <c r="A6" t="s">
        <v>29</v>
      </c>
      <c r="B6" t="s">
        <v>30</v>
      </c>
      <c r="C6">
        <v>-7</v>
      </c>
      <c r="D6">
        <v>0.72</v>
      </c>
      <c r="E6">
        <v>-9</v>
      </c>
      <c r="F6">
        <v>-9</v>
      </c>
      <c r="H6">
        <v>-0.13</v>
      </c>
      <c r="I6">
        <v>0.15</v>
      </c>
      <c r="J6">
        <v>131</v>
      </c>
      <c r="L6">
        <v>-0.03</v>
      </c>
      <c r="N6">
        <v>1800</v>
      </c>
      <c r="O6">
        <f>C6-D6*20-E6*0.8-F6*0.6-H6*10+I6*15+J6/200-M6*5</f>
        <v>-4.5950000000000006</v>
      </c>
      <c r="Q6">
        <v>0.15</v>
      </c>
      <c r="R6">
        <v>18</v>
      </c>
      <c r="S6">
        <v>-0.04</v>
      </c>
      <c r="T6">
        <f t="shared" si="0"/>
        <v>0.74</v>
      </c>
      <c r="U6">
        <v>0.03</v>
      </c>
      <c r="V6">
        <f t="shared" si="1"/>
        <v>0.71599999999999997</v>
      </c>
      <c r="W6">
        <f t="shared" si="2"/>
        <v>-0.15049999999999999</v>
      </c>
      <c r="Y6">
        <v>372</v>
      </c>
      <c r="Z6">
        <f t="shared" si="3"/>
        <v>2232</v>
      </c>
    </row>
    <row r="7" spans="1:28" x14ac:dyDescent="0.25">
      <c r="A7" t="s">
        <v>31</v>
      </c>
      <c r="B7" t="s">
        <v>32</v>
      </c>
      <c r="C7">
        <v>-4</v>
      </c>
      <c r="D7">
        <v>0.68</v>
      </c>
      <c r="E7">
        <v>-7</v>
      </c>
      <c r="F7">
        <v>-7</v>
      </c>
      <c r="H7">
        <v>-0.05</v>
      </c>
      <c r="I7">
        <v>0.08</v>
      </c>
      <c r="J7">
        <v>108</v>
      </c>
      <c r="L7">
        <v>-0.03</v>
      </c>
      <c r="N7">
        <v>1100</v>
      </c>
      <c r="O7">
        <f>C7-D7*20-E7*0.8-F7*0.6-H7*10+I7*15+J7/200-M7*5</f>
        <v>-5.56</v>
      </c>
      <c r="Q7">
        <v>0.15</v>
      </c>
      <c r="R7">
        <v>16</v>
      </c>
      <c r="T7">
        <f t="shared" si="0"/>
        <v>0.71</v>
      </c>
      <c r="U7">
        <v>0.03</v>
      </c>
      <c r="V7">
        <f t="shared" si="1"/>
        <v>0.68199999999999994</v>
      </c>
      <c r="W7">
        <f t="shared" si="2"/>
        <v>-6.4500000000000002E-2</v>
      </c>
      <c r="Y7">
        <v>329.99</v>
      </c>
      <c r="Z7">
        <f t="shared" si="3"/>
        <v>1979.94</v>
      </c>
    </row>
    <row r="8" spans="1:28" x14ac:dyDescent="0.25">
      <c r="A8" t="s">
        <v>33</v>
      </c>
      <c r="B8" t="s">
        <v>34</v>
      </c>
      <c r="C8">
        <v>-3</v>
      </c>
      <c r="D8">
        <v>0.71</v>
      </c>
      <c r="E8">
        <v>-6</v>
      </c>
      <c r="F8">
        <v>-6</v>
      </c>
      <c r="H8">
        <v>-7.0000000000000007E-2</v>
      </c>
      <c r="I8">
        <v>0.1</v>
      </c>
      <c r="J8">
        <v>78</v>
      </c>
      <c r="N8">
        <v>1200</v>
      </c>
      <c r="O8">
        <f>C8-D8*20-E8*0.8-F8*0.6-H8*10+I8*15+J8/200-M8*5</f>
        <v>-6.21</v>
      </c>
      <c r="Q8">
        <v>0.12</v>
      </c>
      <c r="R8">
        <v>16</v>
      </c>
      <c r="S8">
        <v>0.04</v>
      </c>
      <c r="T8">
        <f t="shared" si="0"/>
        <v>0.72</v>
      </c>
      <c r="U8">
        <v>0.02</v>
      </c>
      <c r="V8">
        <f t="shared" si="1"/>
        <v>0.71199999999999997</v>
      </c>
      <c r="W8">
        <f t="shared" si="2"/>
        <v>-6.4500000000000002E-2</v>
      </c>
      <c r="Y8">
        <v>279.99</v>
      </c>
      <c r="Z8">
        <f t="shared" si="3"/>
        <v>1679.94</v>
      </c>
    </row>
    <row r="9" spans="1:28" x14ac:dyDescent="0.25">
      <c r="A9" t="s">
        <v>35</v>
      </c>
      <c r="B9" t="s">
        <v>36</v>
      </c>
      <c r="C9">
        <v>-1</v>
      </c>
      <c r="D9">
        <v>0.65</v>
      </c>
      <c r="E9">
        <v>-5</v>
      </c>
      <c r="F9">
        <v>-5</v>
      </c>
      <c r="H9">
        <v>-0.02</v>
      </c>
      <c r="I9">
        <v>0.04</v>
      </c>
      <c r="J9">
        <v>45</v>
      </c>
      <c r="N9">
        <v>800</v>
      </c>
      <c r="O9">
        <f>C9-D9*20-E9*0.8-F9*0.6-H9*10+I9*15+J9/200-M9*5</f>
        <v>-5.9750000000000005</v>
      </c>
      <c r="Q9">
        <v>0.12</v>
      </c>
      <c r="R9">
        <v>14.5</v>
      </c>
      <c r="S9">
        <v>0.04</v>
      </c>
      <c r="T9">
        <f t="shared" si="0"/>
        <v>0.67</v>
      </c>
      <c r="U9">
        <v>0.02</v>
      </c>
      <c r="V9">
        <f t="shared" si="1"/>
        <v>0.65650000000000008</v>
      </c>
      <c r="W9">
        <f t="shared" si="2"/>
        <v>0</v>
      </c>
      <c r="Y9">
        <v>349</v>
      </c>
      <c r="Z9">
        <f t="shared" si="3"/>
        <v>2094</v>
      </c>
    </row>
    <row r="10" spans="1:28" x14ac:dyDescent="0.25">
      <c r="A10" t="s">
        <v>37</v>
      </c>
      <c r="B10" t="s">
        <v>38</v>
      </c>
      <c r="C10">
        <v>0</v>
      </c>
      <c r="D10">
        <v>0.61</v>
      </c>
      <c r="E10">
        <v>-4</v>
      </c>
      <c r="F10">
        <v>-4</v>
      </c>
      <c r="H10">
        <v>0</v>
      </c>
      <c r="I10">
        <v>0.02</v>
      </c>
      <c r="J10">
        <v>33</v>
      </c>
      <c r="N10">
        <v>0</v>
      </c>
      <c r="O10">
        <f>C10-D10*20-E10*0.8-F10*0.6-H10*10+I10*15+J10/200-M10*5</f>
        <v>-6.1349999999999998</v>
      </c>
      <c r="Q10">
        <v>0.12</v>
      </c>
      <c r="R10">
        <v>14.5</v>
      </c>
      <c r="T10">
        <f t="shared" si="0"/>
        <v>0.63</v>
      </c>
      <c r="U10">
        <v>0.02</v>
      </c>
      <c r="V10">
        <f t="shared" si="1"/>
        <v>0.61650000000000005</v>
      </c>
      <c r="W10">
        <f t="shared" si="2"/>
        <v>0</v>
      </c>
      <c r="Z10">
        <f t="shared" si="3"/>
        <v>0</v>
      </c>
    </row>
    <row r="11" spans="1:28" x14ac:dyDescent="0.25">
      <c r="A11" t="s">
        <v>39</v>
      </c>
      <c r="B11" t="s">
        <v>40</v>
      </c>
      <c r="C11">
        <v>1</v>
      </c>
      <c r="D11">
        <v>0.61</v>
      </c>
      <c r="E11">
        <v>-4</v>
      </c>
      <c r="F11">
        <v>-4</v>
      </c>
      <c r="H11">
        <v>0.04</v>
      </c>
      <c r="I11">
        <v>0.01</v>
      </c>
      <c r="J11">
        <v>37</v>
      </c>
      <c r="L11">
        <v>-0.03</v>
      </c>
      <c r="N11">
        <v>2000</v>
      </c>
      <c r="O11">
        <f>C11-D11*20-E11*0.8-F11*0.6-H11*10+I11*15+J11/200-M11*5</f>
        <v>-5.665</v>
      </c>
      <c r="Q11">
        <v>0.15</v>
      </c>
      <c r="R11">
        <v>13.7</v>
      </c>
      <c r="S11">
        <v>0.02</v>
      </c>
      <c r="T11">
        <f t="shared" si="0"/>
        <v>0.65</v>
      </c>
      <c r="U11">
        <v>0.03</v>
      </c>
      <c r="V11">
        <f t="shared" si="1"/>
        <v>0.6169</v>
      </c>
      <c r="W11">
        <f t="shared" si="2"/>
        <v>3.4400000000000028E-2</v>
      </c>
    </row>
    <row r="12" spans="1:28" x14ac:dyDescent="0.25">
      <c r="A12" t="s">
        <v>41</v>
      </c>
      <c r="B12" t="s">
        <v>42</v>
      </c>
      <c r="C12">
        <v>1</v>
      </c>
      <c r="D12">
        <v>0.54</v>
      </c>
      <c r="E12">
        <v>-3</v>
      </c>
      <c r="F12">
        <v>-3</v>
      </c>
      <c r="H12">
        <v>0.09</v>
      </c>
      <c r="I12">
        <v>-0.02</v>
      </c>
      <c r="J12">
        <v>-34</v>
      </c>
      <c r="N12">
        <v>1200</v>
      </c>
      <c r="O12">
        <f>C12-D12*20-E12*0.8-F12*0.6-H12*10+I12*15+J12/200-M12*5</f>
        <v>-6.97</v>
      </c>
      <c r="Q12">
        <v>0.12</v>
      </c>
      <c r="R12">
        <v>12.5</v>
      </c>
      <c r="T12">
        <f t="shared" si="0"/>
        <v>0.56000000000000005</v>
      </c>
      <c r="U12">
        <v>0.02</v>
      </c>
      <c r="V12">
        <f t="shared" si="1"/>
        <v>0.54249999999999998</v>
      </c>
      <c r="W12">
        <f t="shared" si="2"/>
        <v>8.5999999999999993E-2</v>
      </c>
      <c r="Y12">
        <v>338</v>
      </c>
      <c r="Z12">
        <f t="shared" ref="Z12:Z17" si="4">Y12*6</f>
        <v>2028</v>
      </c>
    </row>
    <row r="13" spans="1:28" x14ac:dyDescent="0.25">
      <c r="A13" t="s">
        <v>43</v>
      </c>
      <c r="B13" t="s">
        <v>44</v>
      </c>
      <c r="C13">
        <v>2</v>
      </c>
      <c r="D13">
        <v>0.5</v>
      </c>
      <c r="E13">
        <v>-2</v>
      </c>
      <c r="F13">
        <v>-3</v>
      </c>
      <c r="H13">
        <v>0.13</v>
      </c>
      <c r="I13">
        <v>-0.05</v>
      </c>
      <c r="J13">
        <v>-72</v>
      </c>
      <c r="N13">
        <v>1100</v>
      </c>
      <c r="O13">
        <f>C13-D13*20-E13*0.8-F13*0.6-H13*10+I13*15+J13/200-M13*5</f>
        <v>-7.0100000000000007</v>
      </c>
      <c r="Q13">
        <v>0.12</v>
      </c>
      <c r="R13">
        <v>11.5</v>
      </c>
      <c r="T13">
        <f t="shared" si="0"/>
        <v>0.52</v>
      </c>
      <c r="U13">
        <v>0.02</v>
      </c>
      <c r="V13">
        <f t="shared" si="1"/>
        <v>0.50549999999999995</v>
      </c>
      <c r="W13">
        <f t="shared" si="2"/>
        <v>0.129</v>
      </c>
      <c r="Y13">
        <v>155</v>
      </c>
      <c r="Z13">
        <f t="shared" si="4"/>
        <v>930</v>
      </c>
    </row>
    <row r="14" spans="1:28" x14ac:dyDescent="0.25">
      <c r="A14" t="s">
        <v>45</v>
      </c>
      <c r="B14" t="s">
        <v>46</v>
      </c>
      <c r="C14">
        <v>3</v>
      </c>
      <c r="D14">
        <v>0.47</v>
      </c>
      <c r="E14">
        <v>-2</v>
      </c>
      <c r="F14">
        <v>-1</v>
      </c>
      <c r="H14">
        <v>0.17</v>
      </c>
      <c r="I14">
        <v>-0.08</v>
      </c>
      <c r="J14">
        <v>-113</v>
      </c>
      <c r="N14">
        <v>1200</v>
      </c>
      <c r="O14">
        <f>C14-D14*20-E14*0.8-F14*0.6-H14*10+I14*15+J14/200-M14*5</f>
        <v>-7.6649999999999991</v>
      </c>
      <c r="Q14">
        <v>0.12</v>
      </c>
      <c r="R14">
        <v>10.5</v>
      </c>
      <c r="T14">
        <f t="shared" si="0"/>
        <v>0.49</v>
      </c>
      <c r="U14">
        <v>0.02</v>
      </c>
      <c r="V14">
        <f t="shared" si="1"/>
        <v>0.46849999999999997</v>
      </c>
      <c r="W14">
        <f t="shared" si="2"/>
        <v>0.17199999999999999</v>
      </c>
      <c r="Y14">
        <v>299</v>
      </c>
      <c r="Z14">
        <f t="shared" si="4"/>
        <v>1794</v>
      </c>
    </row>
    <row r="15" spans="1:28" x14ac:dyDescent="0.25">
      <c r="A15" t="s">
        <v>47</v>
      </c>
      <c r="B15" t="s">
        <v>48</v>
      </c>
      <c r="C15">
        <v>4</v>
      </c>
      <c r="D15">
        <v>0.35</v>
      </c>
      <c r="E15">
        <v>-1</v>
      </c>
      <c r="F15">
        <v>0</v>
      </c>
      <c r="H15">
        <v>0.3</v>
      </c>
      <c r="I15">
        <v>-0.13</v>
      </c>
      <c r="J15">
        <v>-266</v>
      </c>
      <c r="L15">
        <v>0.03</v>
      </c>
      <c r="N15">
        <v>1300</v>
      </c>
      <c r="O15">
        <f>C15-D15*20-E15*0.8-F15*0.6-H15*10+I15*15+J15/200-M15*5</f>
        <v>-8.48</v>
      </c>
      <c r="Q15">
        <v>0.09</v>
      </c>
      <c r="R15">
        <v>7.5</v>
      </c>
      <c r="T15">
        <f t="shared" si="0"/>
        <v>0.35</v>
      </c>
      <c r="U15">
        <v>0.01</v>
      </c>
      <c r="V15">
        <f t="shared" si="1"/>
        <v>0.34749999999999998</v>
      </c>
      <c r="W15">
        <f t="shared" si="2"/>
        <v>0.30099999999999999</v>
      </c>
      <c r="Z15">
        <f t="shared" si="4"/>
        <v>0</v>
      </c>
    </row>
    <row r="16" spans="1:28" x14ac:dyDescent="0.25">
      <c r="A16" t="s">
        <v>49</v>
      </c>
      <c r="B16" t="s">
        <v>50</v>
      </c>
      <c r="C16">
        <v>5</v>
      </c>
      <c r="D16">
        <v>0.24</v>
      </c>
      <c r="E16">
        <v>0</v>
      </c>
      <c r="F16">
        <v>1</v>
      </c>
      <c r="H16">
        <v>0.4</v>
      </c>
      <c r="I16">
        <v>-0.18</v>
      </c>
      <c r="J16">
        <v>-450</v>
      </c>
      <c r="L16">
        <v>6.3E-2</v>
      </c>
      <c r="N16">
        <v>1400</v>
      </c>
      <c r="O16">
        <f>C16-D16*20-E16*0.8-F16*0.6-H16*10+I16*15+J16/200-M16*5</f>
        <v>-9.35</v>
      </c>
      <c r="Q16">
        <v>7.0000000000000007E-2</v>
      </c>
      <c r="R16">
        <v>5</v>
      </c>
      <c r="T16">
        <f t="shared" si="0"/>
        <v>0.25</v>
      </c>
      <c r="U16">
        <v>0</v>
      </c>
      <c r="V16">
        <f t="shared" si="1"/>
        <v>0.245</v>
      </c>
      <c r="W16">
        <f t="shared" si="2"/>
        <v>0.40849999999999997</v>
      </c>
      <c r="Y16">
        <v>149.94999999999999</v>
      </c>
      <c r="Z16">
        <f t="shared" si="4"/>
        <v>899.69999999999993</v>
      </c>
    </row>
    <row r="17" spans="1:26" x14ac:dyDescent="0.25">
      <c r="A17" t="s">
        <v>51</v>
      </c>
      <c r="B17" t="s">
        <v>52</v>
      </c>
      <c r="C17">
        <v>6</v>
      </c>
      <c r="D17">
        <v>0.12</v>
      </c>
      <c r="E17">
        <v>5</v>
      </c>
      <c r="F17">
        <v>5</v>
      </c>
      <c r="H17">
        <v>5</v>
      </c>
      <c r="I17">
        <v>-0.4</v>
      </c>
      <c r="J17">
        <v>-866</v>
      </c>
      <c r="L17">
        <v>0.125</v>
      </c>
      <c r="N17">
        <v>2000</v>
      </c>
      <c r="O17">
        <f>C17-D17*20-E17*0.8-F17*0.6-H17*10+I17*15+J17/200-M17*5</f>
        <v>-63.73</v>
      </c>
      <c r="Q17">
        <v>0.05</v>
      </c>
      <c r="R17">
        <v>2</v>
      </c>
      <c r="S17">
        <v>-0.01</v>
      </c>
      <c r="T17">
        <f t="shared" si="0"/>
        <v>0.11</v>
      </c>
      <c r="U17">
        <v>0</v>
      </c>
      <c r="V17">
        <f t="shared" si="1"/>
        <v>0.12400000000000001</v>
      </c>
      <c r="W17">
        <f t="shared" si="2"/>
        <v>0.53749999999999998</v>
      </c>
      <c r="Z17">
        <f t="shared" si="4"/>
        <v>0</v>
      </c>
    </row>
    <row r="18" spans="1:26" x14ac:dyDescent="0.25">
      <c r="V18">
        <f t="shared" si="1"/>
        <v>0.06</v>
      </c>
      <c r="W18">
        <f t="shared" si="2"/>
        <v>0.62349999999999994</v>
      </c>
    </row>
    <row r="19" spans="1:26" x14ac:dyDescent="0.25">
      <c r="A19" t="s">
        <v>53</v>
      </c>
      <c r="B19" t="s">
        <v>54</v>
      </c>
      <c r="C19">
        <v>4</v>
      </c>
      <c r="D19">
        <v>0.4</v>
      </c>
      <c r="E19">
        <v>3</v>
      </c>
      <c r="F19">
        <v>3</v>
      </c>
      <c r="H19">
        <v>0.24</v>
      </c>
      <c r="I19">
        <v>-0.11</v>
      </c>
      <c r="J19">
        <v>-140</v>
      </c>
      <c r="N19">
        <v>1000</v>
      </c>
      <c r="O19">
        <f>C19-D19*20-E19*0.8-F19*0.6-H19*10+I19*15+J19/200-M19*5</f>
        <v>-12.95</v>
      </c>
      <c r="Q19">
        <v>0.04</v>
      </c>
      <c r="R19">
        <v>9</v>
      </c>
      <c r="S19">
        <v>0.01</v>
      </c>
      <c r="T19">
        <f>ROUND(R19*0.033+Q19+S19, 2)</f>
        <v>0.35</v>
      </c>
      <c r="V19">
        <f t="shared" si="1"/>
        <v>0.40299999999999997</v>
      </c>
      <c r="W19">
        <f t="shared" si="2"/>
        <v>0.23649999999999999</v>
      </c>
    </row>
    <row r="20" spans="1:26" x14ac:dyDescent="0.25">
      <c r="A20" t="s">
        <v>55</v>
      </c>
      <c r="B20" t="s">
        <v>56</v>
      </c>
      <c r="C20">
        <v>3</v>
      </c>
      <c r="D20">
        <v>0.46</v>
      </c>
      <c r="E20">
        <v>2</v>
      </c>
      <c r="F20">
        <v>2</v>
      </c>
      <c r="H20">
        <v>0.18</v>
      </c>
      <c r="I20">
        <v>-0.08</v>
      </c>
      <c r="J20">
        <v>-100</v>
      </c>
      <c r="N20">
        <v>1000</v>
      </c>
      <c r="O20">
        <f>C20-D20*20-E20*0.8-F20*0.6-H20*10+I20*15+J20/200-M20*5</f>
        <v>-12.5</v>
      </c>
      <c r="Q20">
        <v>0.04</v>
      </c>
      <c r="R20">
        <v>10.4</v>
      </c>
      <c r="S20">
        <v>0.02</v>
      </c>
      <c r="T20">
        <f>ROUND(R20*0.033+Q53+S20, 2)</f>
        <v>0.36</v>
      </c>
      <c r="V20">
        <f t="shared" si="1"/>
        <v>0.46479999999999999</v>
      </c>
      <c r="W20">
        <f t="shared" si="2"/>
        <v>0.17629999999999996</v>
      </c>
    </row>
    <row r="21" spans="1:26" x14ac:dyDescent="0.25">
      <c r="A21" t="s">
        <v>57</v>
      </c>
      <c r="B21" t="s">
        <v>58</v>
      </c>
      <c r="C21">
        <v>2</v>
      </c>
      <c r="D21">
        <v>0.47</v>
      </c>
      <c r="E21">
        <v>1</v>
      </c>
      <c r="F21">
        <v>1</v>
      </c>
      <c r="H21">
        <v>0.15</v>
      </c>
      <c r="I21">
        <v>-0.06</v>
      </c>
      <c r="J21">
        <v>-80</v>
      </c>
      <c r="N21">
        <v>1000</v>
      </c>
      <c r="O21">
        <f>C21-D21*20-E21*0.8-F21*0.6-H21*10+I21*15+J21/200-M21*5</f>
        <v>-11.6</v>
      </c>
      <c r="Q21">
        <v>0.04</v>
      </c>
      <c r="R21">
        <v>11</v>
      </c>
      <c r="S21">
        <v>0</v>
      </c>
      <c r="T21">
        <f>ROUND(R21*0.033+Q54+S21, 2)</f>
        <v>0.36</v>
      </c>
      <c r="V21">
        <f t="shared" si="1"/>
        <v>0.46699999999999997</v>
      </c>
      <c r="W21">
        <f t="shared" si="2"/>
        <v>0.15049999999999999</v>
      </c>
    </row>
    <row r="22" spans="1:26" x14ac:dyDescent="0.25">
      <c r="A22" t="s">
        <v>59</v>
      </c>
      <c r="B22" t="s">
        <v>60</v>
      </c>
      <c r="C22">
        <v>1</v>
      </c>
      <c r="D22">
        <v>0.52</v>
      </c>
      <c r="E22">
        <v>1</v>
      </c>
      <c r="F22">
        <v>1</v>
      </c>
      <c r="H22">
        <v>0.08</v>
      </c>
      <c r="I22">
        <v>-0.02</v>
      </c>
      <c r="J22">
        <v>-30</v>
      </c>
      <c r="N22">
        <v>1000</v>
      </c>
      <c r="O22">
        <f>C22-D22*20-E22*0.8-F22*0.6-H22*10+I22*15+J22/200-M22*5</f>
        <v>-12.050000000000002</v>
      </c>
      <c r="Q22">
        <v>0.04</v>
      </c>
      <c r="R22">
        <v>12.5</v>
      </c>
      <c r="S22">
        <v>0</v>
      </c>
      <c r="T22">
        <f>ROUND(R22*0.033+Q55+S22, 2)</f>
        <v>0.41</v>
      </c>
      <c r="V22">
        <f t="shared" si="1"/>
        <v>0.52249999999999996</v>
      </c>
      <c r="W22">
        <f t="shared" si="2"/>
        <v>8.5999999999999993E-2</v>
      </c>
    </row>
    <row r="23" spans="1:26" x14ac:dyDescent="0.25">
      <c r="A23" t="s">
        <v>61</v>
      </c>
      <c r="B23" t="s">
        <v>62</v>
      </c>
      <c r="C23">
        <v>0</v>
      </c>
      <c r="D23">
        <v>0.65</v>
      </c>
      <c r="E23">
        <v>0</v>
      </c>
      <c r="F23">
        <v>0</v>
      </c>
      <c r="H23">
        <v>0</v>
      </c>
      <c r="I23">
        <v>0.03</v>
      </c>
      <c r="J23">
        <v>50</v>
      </c>
      <c r="N23">
        <v>0</v>
      </c>
      <c r="O23">
        <f>C23-D23*20-E23*0.8-F23*0.6-H23*10+I23*15+J23/200-M23*5</f>
        <v>-12.3</v>
      </c>
      <c r="Q23">
        <v>0.04</v>
      </c>
      <c r="R23">
        <v>14.5</v>
      </c>
      <c r="S23">
        <v>0.05</v>
      </c>
      <c r="T23">
        <f>ROUND(R23*0.033+Q56+S23, 2)</f>
        <v>0.53</v>
      </c>
      <c r="V23">
        <f t="shared" si="1"/>
        <v>0.64650000000000007</v>
      </c>
      <c r="W23">
        <f t="shared" si="2"/>
        <v>0</v>
      </c>
    </row>
    <row r="24" spans="1:26" x14ac:dyDescent="0.25">
      <c r="A24" t="s">
        <v>63</v>
      </c>
      <c r="B24" t="s">
        <v>64</v>
      </c>
      <c r="C24">
        <v>0</v>
      </c>
      <c r="D24">
        <v>0.62</v>
      </c>
      <c r="E24">
        <v>0</v>
      </c>
      <c r="F24">
        <v>0</v>
      </c>
      <c r="H24">
        <v>-0.02</v>
      </c>
      <c r="I24">
        <v>0.03</v>
      </c>
      <c r="J24">
        <v>50</v>
      </c>
      <c r="N24">
        <v>0</v>
      </c>
      <c r="O24">
        <f>C24-D24*20-E24*0.8-F24*0.6-H24*10+I24*15+J24/200-M24*5</f>
        <v>-11.500000000000002</v>
      </c>
      <c r="Q24">
        <v>0.04</v>
      </c>
      <c r="R24">
        <v>14.5</v>
      </c>
      <c r="S24">
        <v>0.02</v>
      </c>
      <c r="T24">
        <f>ROUND(R24*0.033+Q57+S24, 2)</f>
        <v>0.5</v>
      </c>
      <c r="V24">
        <f t="shared" si="1"/>
        <v>0.61650000000000005</v>
      </c>
      <c r="W24">
        <f t="shared" si="2"/>
        <v>0</v>
      </c>
    </row>
    <row r="25" spans="1:26" x14ac:dyDescent="0.25">
      <c r="A25" t="s">
        <v>65</v>
      </c>
      <c r="B25" t="s">
        <v>66</v>
      </c>
      <c r="C25">
        <v>-3</v>
      </c>
      <c r="D25">
        <v>0.72</v>
      </c>
      <c r="E25">
        <v>-2</v>
      </c>
      <c r="F25">
        <v>-2</v>
      </c>
      <c r="H25">
        <v>-0.08</v>
      </c>
      <c r="I25">
        <v>0.1</v>
      </c>
      <c r="J25">
        <v>100</v>
      </c>
      <c r="N25">
        <v>1000</v>
      </c>
      <c r="O25">
        <f>C25-D25*20-E25*0.8-F25*0.6-H25*10+I25*15+J25/200-M25*5</f>
        <v>-11.799999999999999</v>
      </c>
      <c r="Q25">
        <v>0.04</v>
      </c>
      <c r="R25">
        <v>16.5</v>
      </c>
      <c r="S25">
        <v>0.05</v>
      </c>
      <c r="T25">
        <f>ROUND(R25*0.033+Q58+S25, 2)</f>
        <v>0.59</v>
      </c>
      <c r="V25">
        <f t="shared" si="1"/>
        <v>0.72049999999999992</v>
      </c>
      <c r="W25">
        <f t="shared" si="2"/>
        <v>-8.5999999999999993E-2</v>
      </c>
    </row>
    <row r="26" spans="1:26" x14ac:dyDescent="0.25">
      <c r="A26" t="s">
        <v>67</v>
      </c>
      <c r="B26" t="s">
        <v>68</v>
      </c>
      <c r="C26">
        <v>-3</v>
      </c>
      <c r="D26">
        <v>0.69</v>
      </c>
      <c r="E26">
        <v>-2</v>
      </c>
      <c r="F26">
        <v>-2</v>
      </c>
      <c r="H26">
        <v>-0.1</v>
      </c>
      <c r="I26">
        <v>0.1</v>
      </c>
      <c r="J26">
        <v>100</v>
      </c>
      <c r="N26">
        <v>1000</v>
      </c>
      <c r="O26">
        <f>C26-D26*20-E26*0.8-F26*0.6-H26*10+I26*15+J26/200-M26*5</f>
        <v>-10.999999999999998</v>
      </c>
      <c r="Q26">
        <v>0.04</v>
      </c>
      <c r="R26">
        <v>16.5</v>
      </c>
      <c r="S26">
        <v>0.02</v>
      </c>
      <c r="T26">
        <f>ROUND(R26*0.033+Q59+S26, 2)</f>
        <v>0.56000000000000005</v>
      </c>
      <c r="V26">
        <f t="shared" si="1"/>
        <v>0.69049999999999989</v>
      </c>
      <c r="W26">
        <f t="shared" si="2"/>
        <v>-8.5999999999999993E-2</v>
      </c>
    </row>
    <row r="27" spans="1:26" x14ac:dyDescent="0.25">
      <c r="A27" t="s">
        <v>69</v>
      </c>
      <c r="B27" t="s">
        <v>70</v>
      </c>
      <c r="C27">
        <v>-7</v>
      </c>
      <c r="D27">
        <v>0.85</v>
      </c>
      <c r="E27">
        <v>-5</v>
      </c>
      <c r="F27">
        <v>-5</v>
      </c>
      <c r="H27">
        <v>-0.22</v>
      </c>
      <c r="I27">
        <v>0.21</v>
      </c>
      <c r="J27">
        <v>190</v>
      </c>
      <c r="N27">
        <v>2000</v>
      </c>
      <c r="O27">
        <f>C27-D27*20-E27*0.8-F27*0.6-H27*10+I27*15+J27/200-M27*5</f>
        <v>-10.700000000000001</v>
      </c>
      <c r="Q27">
        <v>0.04</v>
      </c>
      <c r="R27">
        <v>20</v>
      </c>
      <c r="S27">
        <v>0.05</v>
      </c>
      <c r="T27">
        <f>ROUND(R27*0.033+Q60+S27, 2)</f>
        <v>0.71</v>
      </c>
      <c r="V27">
        <f t="shared" si="1"/>
        <v>0.85000000000000009</v>
      </c>
      <c r="W27">
        <f t="shared" si="2"/>
        <v>-0.23649999999999999</v>
      </c>
    </row>
    <row r="28" spans="1:26" x14ac:dyDescent="0.25">
      <c r="A28" t="s">
        <v>71</v>
      </c>
      <c r="B28" t="s">
        <v>72</v>
      </c>
      <c r="C28">
        <v>-7</v>
      </c>
      <c r="D28">
        <v>0.82</v>
      </c>
      <c r="E28">
        <v>-5</v>
      </c>
      <c r="F28">
        <v>-5</v>
      </c>
      <c r="H28">
        <v>-0.24</v>
      </c>
      <c r="I28">
        <v>0.21</v>
      </c>
      <c r="J28">
        <v>190</v>
      </c>
      <c r="N28">
        <v>2000</v>
      </c>
      <c r="O28">
        <f>C28-D28*20-E28*0.8-F28*0.6-H28*10+I28*15+J28/200-M28*5</f>
        <v>-9.8999999999999986</v>
      </c>
      <c r="Q28">
        <v>0.04</v>
      </c>
      <c r="R28">
        <v>20</v>
      </c>
      <c r="S28">
        <v>0.02</v>
      </c>
      <c r="T28">
        <f>ROUND(R28*0.033+Q61+S28, 2)</f>
        <v>0.68</v>
      </c>
      <c r="V28">
        <f t="shared" si="1"/>
        <v>0.82000000000000006</v>
      </c>
      <c r="W28">
        <f t="shared" si="2"/>
        <v>-0.23649999999999999</v>
      </c>
    </row>
    <row r="29" spans="1:2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T29">
        <f t="shared" ref="T29:T43" si="5">ROUND(R29*0.033+Q29+S29, 2)</f>
        <v>0</v>
      </c>
      <c r="V29">
        <f t="shared" si="1"/>
        <v>0.06</v>
      </c>
      <c r="W29">
        <f t="shared" si="2"/>
        <v>0.62349999999999994</v>
      </c>
    </row>
    <row r="30" spans="1:26" x14ac:dyDescent="0.25">
      <c r="A30" s="1" t="s">
        <v>73</v>
      </c>
      <c r="B30" s="1" t="s">
        <v>92</v>
      </c>
      <c r="C30" s="1">
        <v>-8</v>
      </c>
      <c r="D30" s="1">
        <v>1.02</v>
      </c>
      <c r="E30" s="1">
        <v>-10</v>
      </c>
      <c r="F30" s="1">
        <v>-10</v>
      </c>
      <c r="G30" s="1"/>
      <c r="H30" s="1">
        <v>-0.12</v>
      </c>
      <c r="I30" s="1">
        <v>0.21</v>
      </c>
      <c r="J30" s="1">
        <v>269</v>
      </c>
      <c r="K30" s="1"/>
      <c r="L30" s="1"/>
      <c r="M30" s="1"/>
      <c r="N30" s="1">
        <v>2000</v>
      </c>
      <c r="O30">
        <f>C30-D30*20-E30*0.8-F30*0.6-H30*10+I30*15+J30/200-M30*5</f>
        <v>-8.7049999999999983</v>
      </c>
      <c r="Q30">
        <v>0.1</v>
      </c>
      <c r="R30">
        <v>24.409400000000002</v>
      </c>
      <c r="S30">
        <v>0.1</v>
      </c>
      <c r="T30">
        <f t="shared" si="5"/>
        <v>1.01</v>
      </c>
      <c r="V30">
        <f t="shared" si="1"/>
        <v>1.0631478000000001</v>
      </c>
      <c r="W30">
        <f t="shared" si="2"/>
        <v>-0.42610420000000004</v>
      </c>
    </row>
    <row r="31" spans="1:26" x14ac:dyDescent="0.25">
      <c r="A31" s="1" t="s">
        <v>74</v>
      </c>
      <c r="B31" t="s">
        <v>93</v>
      </c>
      <c r="C31" s="1">
        <v>-4</v>
      </c>
      <c r="D31" s="1">
        <v>0.8</v>
      </c>
      <c r="E31" s="1">
        <v>-5</v>
      </c>
      <c r="F31" s="1">
        <v>-5</v>
      </c>
      <c r="G31" s="1"/>
      <c r="H31" s="1">
        <v>-0.24</v>
      </c>
      <c r="I31" s="1">
        <v>0.21</v>
      </c>
      <c r="J31" s="1">
        <v>179</v>
      </c>
      <c r="K31" s="1"/>
      <c r="L31" s="1"/>
      <c r="M31" s="1"/>
      <c r="N31" s="1">
        <v>1000</v>
      </c>
      <c r="O31">
        <f>C31-D31*20-E31*0.8-F31*0.6-H31*10+I31*15+J31/200-M31*5</f>
        <v>-6.5549999999999997</v>
      </c>
      <c r="Q31">
        <v>0.1</v>
      </c>
      <c r="R31">
        <v>20</v>
      </c>
      <c r="T31">
        <f t="shared" si="5"/>
        <v>0.76</v>
      </c>
      <c r="V31">
        <f t="shared" si="1"/>
        <v>0.8</v>
      </c>
      <c r="W31">
        <f t="shared" si="2"/>
        <v>-0.23649999999999999</v>
      </c>
    </row>
    <row r="32" spans="1:26" x14ac:dyDescent="0.25">
      <c r="A32" s="1" t="s">
        <v>75</v>
      </c>
      <c r="B32" t="s">
        <v>94</v>
      </c>
      <c r="C32" s="1">
        <v>-2</v>
      </c>
      <c r="D32" s="1">
        <v>0.72</v>
      </c>
      <c r="E32" s="1">
        <v>-3</v>
      </c>
      <c r="F32" s="1">
        <v>-3</v>
      </c>
      <c r="G32" s="1"/>
      <c r="H32" s="1">
        <v>-0.15</v>
      </c>
      <c r="I32" s="1">
        <v>0.15</v>
      </c>
      <c r="J32" s="1">
        <v>131</v>
      </c>
      <c r="K32" s="1"/>
      <c r="L32" s="1"/>
      <c r="M32" s="1"/>
      <c r="N32" s="1">
        <v>750</v>
      </c>
      <c r="O32">
        <f>C32-D32*20-E32*0.8-F32*0.6-H32*10+I32*15+J32/200-M32*5</f>
        <v>-7.794999999999999</v>
      </c>
      <c r="Q32">
        <v>0.1</v>
      </c>
      <c r="R32">
        <v>17.992100000000001</v>
      </c>
      <c r="T32">
        <f t="shared" si="5"/>
        <v>0.69</v>
      </c>
      <c r="V32">
        <f t="shared" si="1"/>
        <v>0.72570770000000007</v>
      </c>
      <c r="W32">
        <f t="shared" si="2"/>
        <v>-0.15016030000000002</v>
      </c>
    </row>
    <row r="33" spans="1:23" x14ac:dyDescent="0.25">
      <c r="A33" s="1" t="s">
        <v>76</v>
      </c>
      <c r="B33" t="s">
        <v>95</v>
      </c>
      <c r="C33" s="1">
        <v>0</v>
      </c>
      <c r="D33" s="1">
        <v>0.65</v>
      </c>
      <c r="E33" s="1">
        <v>-1</v>
      </c>
      <c r="F33" s="1">
        <v>-1</v>
      </c>
      <c r="G33" s="1"/>
      <c r="H33" s="1">
        <v>-0.06</v>
      </c>
      <c r="I33" s="1">
        <v>0.1</v>
      </c>
      <c r="J33" s="1">
        <v>79</v>
      </c>
      <c r="K33" s="1"/>
      <c r="L33" s="1"/>
      <c r="M33" s="1"/>
      <c r="N33" s="1">
        <v>0</v>
      </c>
      <c r="O33">
        <f>C33-D33*20-E33*0.8-F33*0.6-H33*10+I33*15+J33/200-M33*5</f>
        <v>-9.1050000000000004</v>
      </c>
      <c r="Q33">
        <v>0.1</v>
      </c>
      <c r="R33">
        <v>16.023599999999998</v>
      </c>
      <c r="T33">
        <f t="shared" si="5"/>
        <v>0.63</v>
      </c>
      <c r="V33">
        <f t="shared" si="1"/>
        <v>0.65287319999999993</v>
      </c>
      <c r="W33">
        <f t="shared" si="2"/>
        <v>-6.5514799999999915E-2</v>
      </c>
    </row>
    <row r="34" spans="1:23" x14ac:dyDescent="0.25">
      <c r="A34" s="1" t="s">
        <v>77</v>
      </c>
      <c r="B34" t="s">
        <v>96</v>
      </c>
      <c r="C34" s="1">
        <v>2</v>
      </c>
      <c r="D34" s="1">
        <v>0.56999999999999995</v>
      </c>
      <c r="E34" s="1">
        <v>0</v>
      </c>
      <c r="F34" s="1">
        <v>0</v>
      </c>
      <c r="G34" s="1"/>
      <c r="H34" s="1">
        <v>0.03</v>
      </c>
      <c r="I34" s="1">
        <v>0.01</v>
      </c>
      <c r="J34" s="1">
        <v>10</v>
      </c>
      <c r="K34" s="1"/>
      <c r="L34" s="1"/>
      <c r="M34" s="1"/>
      <c r="N34" s="1">
        <v>600</v>
      </c>
      <c r="O34">
        <f>C34-D34*20-E34*0.8-F34*0.6-H34*10+I34*15+J34/200-M34*5</f>
        <v>-9.4999999999999982</v>
      </c>
      <c r="Q34">
        <v>0.1</v>
      </c>
      <c r="R34">
        <v>13.779500000000001</v>
      </c>
      <c r="T34">
        <f t="shared" si="5"/>
        <v>0.55000000000000004</v>
      </c>
      <c r="V34">
        <f t="shared" si="1"/>
        <v>0.56984149999999989</v>
      </c>
      <c r="W34">
        <f t="shared" si="2"/>
        <v>3.0981499999999974E-2</v>
      </c>
    </row>
    <row r="35" spans="1:23" x14ac:dyDescent="0.25">
      <c r="A35" t="s">
        <v>84</v>
      </c>
      <c r="B35" t="s">
        <v>85</v>
      </c>
      <c r="C35">
        <v>2</v>
      </c>
      <c r="D35">
        <v>0.56999999999999995</v>
      </c>
      <c r="E35">
        <v>0</v>
      </c>
      <c r="F35">
        <v>0</v>
      </c>
      <c r="H35">
        <v>0.08</v>
      </c>
      <c r="I35">
        <v>0.01</v>
      </c>
      <c r="J35">
        <v>10</v>
      </c>
      <c r="N35">
        <v>2100</v>
      </c>
      <c r="O35">
        <f t="shared" ref="O35:O38" si="6">C35-D35*20-E35*0.8-F35*0.6-H35*10+I35*15+J35/200-M35*5</f>
        <v>-9.9999999999999982</v>
      </c>
    </row>
    <row r="36" spans="1:23" x14ac:dyDescent="0.25">
      <c r="A36" t="s">
        <v>86</v>
      </c>
      <c r="B36" t="s">
        <v>87</v>
      </c>
      <c r="C36">
        <v>0</v>
      </c>
      <c r="D36">
        <v>0.65</v>
      </c>
      <c r="E36">
        <v>-1</v>
      </c>
      <c r="F36">
        <v>-1</v>
      </c>
      <c r="H36">
        <v>-0.01</v>
      </c>
      <c r="I36">
        <v>0.1</v>
      </c>
      <c r="J36">
        <v>79</v>
      </c>
      <c r="N36">
        <v>1500</v>
      </c>
      <c r="O36">
        <f t="shared" si="6"/>
        <v>-9.6050000000000004</v>
      </c>
    </row>
    <row r="37" spans="1:23" x14ac:dyDescent="0.25">
      <c r="A37" t="s">
        <v>88</v>
      </c>
      <c r="B37" t="s">
        <v>89</v>
      </c>
      <c r="C37">
        <v>-2</v>
      </c>
      <c r="D37">
        <v>0.72</v>
      </c>
      <c r="E37">
        <v>-3</v>
      </c>
      <c r="F37">
        <v>-3</v>
      </c>
      <c r="H37">
        <v>-0.1</v>
      </c>
      <c r="I37">
        <v>0.15</v>
      </c>
      <c r="J37">
        <v>131</v>
      </c>
      <c r="N37">
        <v>2250</v>
      </c>
      <c r="O37">
        <f t="shared" si="6"/>
        <v>-8.2949999999999999</v>
      </c>
    </row>
    <row r="38" spans="1:23" x14ac:dyDescent="0.25">
      <c r="A38" t="s">
        <v>90</v>
      </c>
      <c r="B38" t="s">
        <v>91</v>
      </c>
      <c r="C38">
        <v>-4</v>
      </c>
      <c r="D38">
        <v>0.8</v>
      </c>
      <c r="E38">
        <v>-5</v>
      </c>
      <c r="F38">
        <v>-5</v>
      </c>
      <c r="H38">
        <v>-0.19</v>
      </c>
      <c r="I38">
        <v>0.21</v>
      </c>
      <c r="J38">
        <v>179</v>
      </c>
      <c r="N38">
        <v>2500</v>
      </c>
      <c r="O38">
        <f t="shared" si="6"/>
        <v>-7.0549999999999997</v>
      </c>
    </row>
    <row r="39" spans="1:23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>
        <f>C39-D39*20-E39*0.8-F39*0.6-H39*5+I39*15+J39/300</f>
        <v>0</v>
      </c>
      <c r="T39">
        <f t="shared" si="5"/>
        <v>0</v>
      </c>
      <c r="V39">
        <f t="shared" si="1"/>
        <v>0.06</v>
      </c>
      <c r="W39">
        <f t="shared" si="2"/>
        <v>0.62349999999999994</v>
      </c>
    </row>
    <row r="40" spans="1:23" x14ac:dyDescent="0.25">
      <c r="A40" s="1" t="s">
        <v>78</v>
      </c>
      <c r="B40" s="1" t="s">
        <v>79</v>
      </c>
      <c r="C40" s="1">
        <v>-5</v>
      </c>
      <c r="D40" s="1">
        <v>0.73</v>
      </c>
      <c r="E40" s="1">
        <v>-4</v>
      </c>
      <c r="F40" s="1">
        <v>-4</v>
      </c>
      <c r="G40" s="1"/>
      <c r="H40" s="1">
        <v>-0.13</v>
      </c>
      <c r="I40" s="1">
        <v>0.16</v>
      </c>
      <c r="J40" s="1">
        <v>131</v>
      </c>
      <c r="K40" s="1"/>
      <c r="L40" s="1"/>
      <c r="M40" s="1"/>
      <c r="N40" s="1">
        <v>1500</v>
      </c>
      <c r="O40">
        <f>C40-D40*20-E40*0.8-F40*0.6-H40*5+I40*15+J40/300</f>
        <v>-10.513333333333334</v>
      </c>
      <c r="Q40">
        <v>0.14000000000000001</v>
      </c>
      <c r="R40">
        <v>17.992100000000001</v>
      </c>
      <c r="T40">
        <f t="shared" si="5"/>
        <v>0.73</v>
      </c>
      <c r="V40">
        <f t="shared" si="1"/>
        <v>0.72570770000000007</v>
      </c>
      <c r="W40">
        <f t="shared" si="2"/>
        <v>-0.15016030000000002</v>
      </c>
    </row>
    <row r="41" spans="1:23" x14ac:dyDescent="0.25">
      <c r="A41" s="1" t="s">
        <v>80</v>
      </c>
      <c r="B41" s="1" t="s">
        <v>81</v>
      </c>
      <c r="C41" s="1">
        <v>0</v>
      </c>
      <c r="D41" s="1">
        <v>0.6</v>
      </c>
      <c r="E41" s="1">
        <v>0</v>
      </c>
      <c r="F41" s="1">
        <v>0</v>
      </c>
      <c r="G41" s="1"/>
      <c r="H41" s="1">
        <v>0.04</v>
      </c>
      <c r="I41" s="1">
        <v>0.02</v>
      </c>
      <c r="J41" s="1">
        <v>17</v>
      </c>
      <c r="K41" s="1"/>
      <c r="L41" s="1"/>
      <c r="M41" s="1"/>
      <c r="N41" s="1">
        <v>0</v>
      </c>
      <c r="O41">
        <f>C41-D41*20-E41*0.8-F41*0.6-H41*5+I41*15+J41/300</f>
        <v>-11.843333333333332</v>
      </c>
      <c r="Q41">
        <v>0.14000000000000001</v>
      </c>
      <c r="R41">
        <v>13.9764</v>
      </c>
      <c r="T41">
        <f t="shared" si="5"/>
        <v>0.6</v>
      </c>
      <c r="V41">
        <f t="shared" si="1"/>
        <v>0.57712680000000005</v>
      </c>
      <c r="W41">
        <f t="shared" si="2"/>
        <v>2.2514800000000001E-2</v>
      </c>
    </row>
    <row r="42" spans="1:23" x14ac:dyDescent="0.25">
      <c r="A42" s="1" t="s">
        <v>82</v>
      </c>
      <c r="B42" s="1" t="s">
        <v>83</v>
      </c>
      <c r="C42" s="1">
        <v>2</v>
      </c>
      <c r="D42" s="1">
        <v>0.47</v>
      </c>
      <c r="E42" s="1">
        <v>1</v>
      </c>
      <c r="F42" s="1">
        <v>1</v>
      </c>
      <c r="G42" s="1"/>
      <c r="H42" s="1">
        <v>0.2</v>
      </c>
      <c r="I42" s="1">
        <v>-0.08</v>
      </c>
      <c r="J42" s="1">
        <v>-135</v>
      </c>
      <c r="K42" s="1"/>
      <c r="L42" s="1"/>
      <c r="M42" s="1"/>
      <c r="N42" s="1">
        <v>1200</v>
      </c>
      <c r="O42">
        <f>C42-D42*20-E42*0.8-F42*0.6-H42*5+I42*15+J42/300</f>
        <v>-11.449999999999998</v>
      </c>
      <c r="Q42">
        <v>0.14000000000000001</v>
      </c>
      <c r="R42">
        <v>10</v>
      </c>
      <c r="T42">
        <f t="shared" si="5"/>
        <v>0.47</v>
      </c>
      <c r="V42">
        <f t="shared" si="1"/>
        <v>0.43</v>
      </c>
      <c r="W42">
        <f t="shared" si="2"/>
        <v>0.19349999999999998</v>
      </c>
    </row>
    <row r="43" spans="1:23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>
        <f>C43-D43*20-E43*0.8-F43*0.6-H43*5+I43*15+J43/300</f>
        <v>0</v>
      </c>
      <c r="T43">
        <f t="shared" si="5"/>
        <v>0</v>
      </c>
    </row>
    <row r="44" spans="1:23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23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23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23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23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m4-barrels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furry slayer</cp:lastModifiedBy>
  <dcterms:created xsi:type="dcterms:W3CDTF">2024-08-19T23:38:21Z</dcterms:created>
  <dcterms:modified xsi:type="dcterms:W3CDTF">2026-09-20T11:48:58Z</dcterms:modified>
</cp:coreProperties>
</file>