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fan\Documents\deadline-dev\deadline-balancing\changes\"/>
    </mc:Choice>
  </mc:AlternateContent>
  <xr:revisionPtr revIDLastSave="0" documentId="13_ncr:1_{B3F3FE78-707E-47AB-A02B-C29F144128B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556 Muzzle Loudness Valu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" i="1"/>
  <c r="Q49" i="1"/>
  <c r="O49" i="1"/>
  <c r="Q48" i="1"/>
  <c r="O48" i="1"/>
  <c r="Q45" i="1"/>
  <c r="O45" i="1"/>
  <c r="Q44" i="1"/>
  <c r="O44" i="1"/>
  <c r="Q43" i="1"/>
  <c r="O43" i="1"/>
  <c r="Q41" i="1"/>
  <c r="O41" i="1"/>
  <c r="Q39" i="1"/>
  <c r="O39" i="1"/>
  <c r="Q38" i="1"/>
  <c r="O38" i="1"/>
  <c r="Q37" i="1"/>
  <c r="O37" i="1"/>
  <c r="O35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</calcChain>
</file>

<file path=xl/sharedStrings.xml><?xml version="1.0" encoding="utf-8"?>
<sst xmlns="http://schemas.openxmlformats.org/spreadsheetml/2006/main" count="105" uniqueCount="105">
  <si>
    <t>NEW</t>
  </si>
  <si>
    <t>name</t>
  </si>
  <si>
    <t>ergonomics</t>
  </si>
  <si>
    <t>weight</t>
  </si>
  <si>
    <t>horizontal_recoil</t>
  </si>
  <si>
    <t>vertical_recoil</t>
  </si>
  <si>
    <t>barrel_deviation</t>
  </si>
  <si>
    <t>bullet_damage</t>
  </si>
  <si>
    <t>bullet_velocity</t>
  </si>
  <si>
    <t>muzzle_loudness</t>
  </si>
  <si>
    <t>price</t>
  </si>
  <si>
    <t>ss</t>
  </si>
  <si>
    <t>irl weight (oz)</t>
  </si>
  <si>
    <t>converted weight</t>
  </si>
  <si>
    <t>irl price ($)</t>
  </si>
  <si>
    <t>converted price</t>
  </si>
  <si>
    <t>talvern_claymore_5.56x45_muzzle_brake</t>
  </si>
  <si>
    <t>Troy Claymore</t>
  </si>
  <si>
    <t>tb_mount_223_mb</t>
  </si>
  <si>
    <t>Thunder Beast</t>
  </si>
  <si>
    <t>tb_5</t>
  </si>
  <si>
    <t>Ultra 5</t>
  </si>
  <si>
    <t>tb_7</t>
  </si>
  <si>
    <t>Ultra 7</t>
  </si>
  <si>
    <t>tb_9</t>
  </si>
  <si>
    <t>Ultra 9</t>
  </si>
  <si>
    <t>centrefire_warcomp_5.56x45_flash_hider</t>
  </si>
  <si>
    <t>Surefire WC</t>
  </si>
  <si>
    <t>centrefire_socom556_sfmb_muzzle_brake</t>
  </si>
  <si>
    <t>Surefire SOCOM</t>
  </si>
  <si>
    <t>centrefire_warden_blast_regulator</t>
  </si>
  <si>
    <t>Surefire Warden</t>
  </si>
  <si>
    <t>centrefire_socom556_rc2_suppressor</t>
  </si>
  <si>
    <t>Socom556</t>
  </si>
  <si>
    <t>ss_combo_mount</t>
  </si>
  <si>
    <t>Spike TCM</t>
  </si>
  <si>
    <t>ss_lrs1_suppressor</t>
  </si>
  <si>
    <t>Spike Lrs</t>
  </si>
  <si>
    <t>kaleva_corvette_556</t>
  </si>
  <si>
    <t>Corvette</t>
  </si>
  <si>
    <t>pac_qdc_m4qd_5.56x56_flash_suppressor</t>
  </si>
  <si>
    <t>KAC QDC M4QD</t>
  </si>
  <si>
    <t>pac_qdss_nt4_5.56x45_suppressor</t>
  </si>
  <si>
    <t>KAC QDSS</t>
  </si>
  <si>
    <t>pac_qdc_3prong_flash_5.56x45_eliminator</t>
  </si>
  <si>
    <t>KAC QDC 3-Prong</t>
  </si>
  <si>
    <t>pac_qdc_mcq_prt_5.56x45_suppressor</t>
  </si>
  <si>
    <t>KAC QDC/MCQ-PRT</t>
  </si>
  <si>
    <t>pac_qdc_crs_prt_5.56x45_suppressor</t>
  </si>
  <si>
    <t>KAC QDC/CRS-PRT</t>
  </si>
  <si>
    <t>jt_5.5inch_flashsuppressor</t>
  </si>
  <si>
    <t>JT 5.5 Flash</t>
  </si>
  <si>
    <t>jg_usgi_a2_birdcage_m4a1_flash_hider</t>
  </si>
  <si>
    <t>JG Birdcage</t>
  </si>
  <si>
    <t>onyx_gmt_halo</t>
  </si>
  <si>
    <t>Gemtech GMT</t>
  </si>
  <si>
    <t>onyx_adapter</t>
  </si>
  <si>
    <t>Gemtech One</t>
  </si>
  <si>
    <t>onyx_1_762</t>
  </si>
  <si>
    <t>Gemtech 7.62</t>
  </si>
  <si>
    <t>adw_adapter</t>
  </si>
  <si>
    <t>DD Wave MB</t>
  </si>
  <si>
    <t>adw_qd</t>
  </si>
  <si>
    <t>DD Wave QD</t>
  </si>
  <si>
    <t>strelets_st_6012</t>
  </si>
  <si>
    <t>Bulletec ST</t>
  </si>
  <si>
    <t>annihilator_556</t>
  </si>
  <si>
    <t>Annihilator</t>
  </si>
  <si>
    <t>zetac_cqbm_suppressor</t>
  </si>
  <si>
    <t>AMTAC Short</t>
  </si>
  <si>
    <t>zetac_cqb_suppressor</t>
  </si>
  <si>
    <t>AMTAC Long</t>
  </si>
  <si>
    <t>aeroknox_ae01_muzzle_brake</t>
  </si>
  <si>
    <t>Aeroknox AE/01</t>
  </si>
  <si>
    <t>smite_industries_jcomp_gen2_5.56x45_muzzle_brake</t>
  </si>
  <si>
    <t>Strike Industries JCOMP Gen2 5.56x45 Muzzle Brake</t>
  </si>
  <si>
    <t>smite_industries_oppressor_blast_shield</t>
  </si>
  <si>
    <t>Strike Industries Oppressor Blast Shield</t>
  </si>
  <si>
    <t>hart_607_car15_3.5inch_flash_moderator</t>
  </si>
  <si>
    <t>Colt 607 CAR-15 3.5" Flash Moderator</t>
  </si>
  <si>
    <t>ewc_5.56x45_blackout_18_tooth_flash_hider</t>
  </si>
  <si>
    <t>EWC 5.56x45 Blackout 18-Teeth</t>
  </si>
  <si>
    <t>steyr_aug_a1_tulip_5.56x45_closed_flash_hider</t>
  </si>
  <si>
    <t>AUG A1 Tulip</t>
  </si>
  <si>
    <t>steyr_aug_a3_5.56x45_closed_flash_hider</t>
  </si>
  <si>
    <t>AUG A3 Closed</t>
  </si>
  <si>
    <t>steyr_aug_a3_5.56x45_original_closed_muzzle_brake</t>
  </si>
  <si>
    <t>AUG A3 Original</t>
  </si>
  <si>
    <t>steyr_breezer_ums_5.56x45_aug_suppressor</t>
  </si>
  <si>
    <t>Steyr Breezer UMS 5.56x45 AUG Suppressor</t>
  </si>
  <si>
    <t>rat_worx_aug_5.56x45_supp_adapter</t>
  </si>
  <si>
    <t>Rat Worx Adapter</t>
  </si>
  <si>
    <t>ips_5.56x45_4inch_barrel_extension</t>
  </si>
  <si>
    <t>IPS 4</t>
  </si>
  <si>
    <t>ips_5.56x45_2inch_barrel_extension</t>
  </si>
  <si>
    <t>IPS 2</t>
  </si>
  <si>
    <t>ips_5.56x45_1inch_barrel_extension</t>
  </si>
  <si>
    <t>IPS 1</t>
  </si>
  <si>
    <t>ips_1_2x28_to_5_8x24_knurled_thread_adapter</t>
  </si>
  <si>
    <t>ISP 1/2x28 to 5/8x24 Knurled Thread Adapter</t>
  </si>
  <si>
    <t>pac_mcq_prt_suppressor_cover</t>
  </si>
  <si>
    <t>PAC MCQ-PRT</t>
  </si>
  <si>
    <t>pac_crs_prt_suppressor_cover</t>
  </si>
  <si>
    <t>PAC CRS-PRT</t>
  </si>
  <si>
    <t>pretty_name_old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</si>
</sst>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tabSelected="1" workbookViewId="0">
      <selection activeCell="J45" sqref="J45"/>
    </sheetView>
  </sheetViews>
  <sheetFormatPr defaultColWidth="8.85546875" defaultRowHeight="15" x14ac:dyDescent="0.25"/>
  <cols>
    <col min="1" max="1" width="25.42578125" customWidth="1"/>
    <col min="2" max="2" width="23" customWidth="1"/>
  </cols>
  <sheetData>
    <row r="1" spans="1:17" x14ac:dyDescent="0.25">
      <c r="C1" t="s">
        <v>0</v>
      </c>
    </row>
    <row r="2" spans="1:17" x14ac:dyDescent="0.25">
      <c r="A2" t="s">
        <v>1</v>
      </c>
      <c r="B2" t="s">
        <v>104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5">
      <c r="A3" t="s">
        <v>16</v>
      </c>
      <c r="B3" t="s">
        <v>17</v>
      </c>
      <c r="C3">
        <v>2</v>
      </c>
      <c r="D3">
        <v>0.1</v>
      </c>
      <c r="E3">
        <v>-10</v>
      </c>
      <c r="F3">
        <v>-15</v>
      </c>
      <c r="G3">
        <v>0</v>
      </c>
      <c r="H3">
        <v>0</v>
      </c>
      <c r="I3">
        <v>0</v>
      </c>
      <c r="J3">
        <v>0.03</v>
      </c>
      <c r="K3">
        <v>500</v>
      </c>
      <c r="L3" s="1">
        <f>C3-D3*20-E3*0.8-F3*0.6-G3*10+H3*20+I3/200-J3*5</f>
        <v>16.850000000000001</v>
      </c>
      <c r="N3">
        <v>4.8</v>
      </c>
      <c r="O3">
        <f>N3*0.015+0.03</f>
        <v>0.10199999999999999</v>
      </c>
      <c r="P3">
        <v>59</v>
      </c>
      <c r="Q3">
        <f t="shared" ref="Q3:Q32" si="0">P3+400</f>
        <v>459</v>
      </c>
    </row>
    <row r="4" spans="1:17" x14ac:dyDescent="0.25">
      <c r="A4" t="s">
        <v>18</v>
      </c>
      <c r="B4" t="s">
        <v>19</v>
      </c>
      <c r="C4">
        <v>0</v>
      </c>
      <c r="D4">
        <v>0.08</v>
      </c>
      <c r="E4">
        <v>-14</v>
      </c>
      <c r="F4">
        <v>-12</v>
      </c>
      <c r="G4">
        <v>0</v>
      </c>
      <c r="H4">
        <v>0</v>
      </c>
      <c r="I4">
        <v>0</v>
      </c>
      <c r="J4">
        <v>0.04</v>
      </c>
      <c r="K4">
        <v>400</v>
      </c>
      <c r="L4" s="1">
        <f t="shared" ref="L4:L49" si="1">C4-D4*20-E4*0.8-F4*0.6-G4*10+H4*20+I4/200-J4*5</f>
        <v>16.600000000000001</v>
      </c>
      <c r="N4">
        <v>3.8</v>
      </c>
      <c r="O4">
        <f t="shared" ref="O4:O34" si="2">N4*0.015+0.03</f>
        <v>8.6999999999999994E-2</v>
      </c>
      <c r="P4">
        <v>137</v>
      </c>
      <c r="Q4">
        <f t="shared" si="0"/>
        <v>537</v>
      </c>
    </row>
    <row r="5" spans="1:17" s="2" customFormat="1" x14ac:dyDescent="0.25">
      <c r="A5" s="2" t="s">
        <v>20</v>
      </c>
      <c r="B5" s="2" t="s">
        <v>21</v>
      </c>
      <c r="C5" s="2">
        <v>-1</v>
      </c>
      <c r="D5" s="2">
        <v>0.12</v>
      </c>
      <c r="E5" s="2">
        <v>-14</v>
      </c>
      <c r="F5" s="2">
        <v>-12</v>
      </c>
      <c r="G5" s="2">
        <v>-0.04</v>
      </c>
      <c r="H5" s="2">
        <v>0.04</v>
      </c>
      <c r="I5" s="2">
        <v>50</v>
      </c>
      <c r="J5" s="2">
        <v>-0.11</v>
      </c>
      <c r="K5" s="2">
        <v>1200</v>
      </c>
      <c r="L5" s="1">
        <f t="shared" si="1"/>
        <v>17</v>
      </c>
      <c r="M5"/>
      <c r="N5" s="2">
        <v>6</v>
      </c>
      <c r="O5">
        <f t="shared" si="2"/>
        <v>0.12</v>
      </c>
      <c r="P5" s="2">
        <v>945</v>
      </c>
      <c r="Q5" s="2">
        <f t="shared" si="0"/>
        <v>1345</v>
      </c>
    </row>
    <row r="6" spans="1:17" s="2" customFormat="1" x14ac:dyDescent="0.25">
      <c r="A6" s="2" t="s">
        <v>22</v>
      </c>
      <c r="B6" s="2" t="s">
        <v>23</v>
      </c>
      <c r="C6" s="2">
        <v>-3</v>
      </c>
      <c r="D6" s="2">
        <v>0.15</v>
      </c>
      <c r="E6" s="2">
        <v>-15</v>
      </c>
      <c r="F6" s="2">
        <v>-14</v>
      </c>
      <c r="G6" s="2">
        <v>-0.08</v>
      </c>
      <c r="H6" s="2">
        <v>0.06</v>
      </c>
      <c r="I6" s="2">
        <v>60</v>
      </c>
      <c r="J6" s="2">
        <v>-0.15</v>
      </c>
      <c r="K6" s="2">
        <v>1300</v>
      </c>
      <c r="L6" s="1">
        <f t="shared" si="1"/>
        <v>17.450000000000003</v>
      </c>
      <c r="M6"/>
      <c r="N6" s="2">
        <v>8</v>
      </c>
      <c r="O6">
        <f t="shared" si="2"/>
        <v>0.15</v>
      </c>
      <c r="P6" s="2">
        <v>1055</v>
      </c>
      <c r="Q6" s="2">
        <f t="shared" si="0"/>
        <v>1455</v>
      </c>
    </row>
    <row r="7" spans="1:17" s="2" customFormat="1" x14ac:dyDescent="0.25">
      <c r="A7" s="2" t="s">
        <v>24</v>
      </c>
      <c r="B7" s="2" t="s">
        <v>25</v>
      </c>
      <c r="C7" s="2">
        <v>-5</v>
      </c>
      <c r="D7" s="2">
        <v>0.18</v>
      </c>
      <c r="E7" s="2">
        <v>-17</v>
      </c>
      <c r="F7" s="2">
        <v>-14</v>
      </c>
      <c r="G7" s="2">
        <v>-0.12</v>
      </c>
      <c r="H7" s="2">
        <v>0.08</v>
      </c>
      <c r="I7" s="2">
        <v>70</v>
      </c>
      <c r="J7" s="2">
        <v>-0.19</v>
      </c>
      <c r="K7" s="2">
        <v>1400</v>
      </c>
      <c r="L7" s="1">
        <f t="shared" si="1"/>
        <v>17.500000000000004</v>
      </c>
      <c r="M7"/>
      <c r="N7" s="2">
        <v>10</v>
      </c>
      <c r="O7">
        <f t="shared" si="2"/>
        <v>0.18</v>
      </c>
      <c r="P7" s="2">
        <v>1165</v>
      </c>
      <c r="Q7" s="2">
        <f t="shared" si="0"/>
        <v>1565</v>
      </c>
    </row>
    <row r="8" spans="1:17" x14ac:dyDescent="0.25">
      <c r="A8" t="s">
        <v>26</v>
      </c>
      <c r="B8" t="s">
        <v>27</v>
      </c>
      <c r="C8">
        <v>1</v>
      </c>
      <c r="D8">
        <v>0.09</v>
      </c>
      <c r="E8">
        <v>-13</v>
      </c>
      <c r="F8">
        <v>-13</v>
      </c>
      <c r="G8">
        <v>0</v>
      </c>
      <c r="H8">
        <v>0</v>
      </c>
      <c r="I8">
        <v>0</v>
      </c>
      <c r="J8">
        <v>0</v>
      </c>
      <c r="K8">
        <v>700</v>
      </c>
      <c r="L8" s="1">
        <f t="shared" si="1"/>
        <v>17.400000000000002</v>
      </c>
      <c r="N8">
        <v>3.8</v>
      </c>
      <c r="O8">
        <f t="shared" si="2"/>
        <v>8.6999999999999994E-2</v>
      </c>
      <c r="P8">
        <v>169</v>
      </c>
      <c r="Q8">
        <f t="shared" si="0"/>
        <v>569</v>
      </c>
    </row>
    <row r="9" spans="1:17" x14ac:dyDescent="0.25">
      <c r="A9" t="s">
        <v>28</v>
      </c>
      <c r="B9" t="s">
        <v>29</v>
      </c>
      <c r="C9">
        <v>-1</v>
      </c>
      <c r="D9">
        <v>0.09</v>
      </c>
      <c r="E9">
        <v>-17</v>
      </c>
      <c r="F9">
        <v>-11</v>
      </c>
      <c r="G9">
        <v>0</v>
      </c>
      <c r="H9">
        <v>0</v>
      </c>
      <c r="I9">
        <v>0</v>
      </c>
      <c r="J9">
        <v>7.0000000000000007E-2</v>
      </c>
      <c r="K9">
        <v>700</v>
      </c>
      <c r="L9" s="1">
        <f t="shared" si="1"/>
        <v>17.049999999999997</v>
      </c>
      <c r="N9">
        <v>3.9</v>
      </c>
      <c r="O9">
        <f t="shared" si="2"/>
        <v>8.8499999999999995E-2</v>
      </c>
      <c r="P9">
        <v>169</v>
      </c>
      <c r="Q9">
        <f t="shared" si="0"/>
        <v>569</v>
      </c>
    </row>
    <row r="10" spans="1:17" s="3" customFormat="1" x14ac:dyDescent="0.25">
      <c r="A10" s="3" t="s">
        <v>30</v>
      </c>
      <c r="B10" s="3" t="s">
        <v>31</v>
      </c>
      <c r="C10" s="3">
        <v>1</v>
      </c>
      <c r="D10" s="3">
        <v>0.15</v>
      </c>
      <c r="E10" s="3">
        <v>-15</v>
      </c>
      <c r="F10" s="3">
        <v>-11</v>
      </c>
      <c r="G10" s="3">
        <v>0</v>
      </c>
      <c r="H10" s="3">
        <v>0.02</v>
      </c>
      <c r="I10" s="3">
        <v>20</v>
      </c>
      <c r="J10" s="3">
        <v>0</v>
      </c>
      <c r="K10" s="3">
        <v>1000</v>
      </c>
      <c r="L10" s="1">
        <f t="shared" si="1"/>
        <v>17.100000000000001</v>
      </c>
      <c r="M10"/>
      <c r="N10" s="3">
        <v>7.8</v>
      </c>
      <c r="O10">
        <f t="shared" si="2"/>
        <v>0.14699999999999999</v>
      </c>
      <c r="P10" s="3">
        <v>250</v>
      </c>
      <c r="Q10" s="3">
        <f t="shared" si="0"/>
        <v>650</v>
      </c>
    </row>
    <row r="11" spans="1:17" s="2" customFormat="1" x14ac:dyDescent="0.25">
      <c r="A11" s="2" t="s">
        <v>32</v>
      </c>
      <c r="B11" s="2" t="s">
        <v>33</v>
      </c>
      <c r="C11" s="2">
        <v>-4</v>
      </c>
      <c r="D11" s="2">
        <v>0.28000000000000003</v>
      </c>
      <c r="E11" s="2">
        <v>-18</v>
      </c>
      <c r="F11" s="2">
        <v>-16</v>
      </c>
      <c r="G11" s="2">
        <v>-0.08</v>
      </c>
      <c r="H11" s="2">
        <v>0.08</v>
      </c>
      <c r="I11" s="2">
        <v>60</v>
      </c>
      <c r="J11" s="2">
        <v>-0.17</v>
      </c>
      <c r="K11" s="2">
        <v>1500</v>
      </c>
      <c r="L11" s="1">
        <f t="shared" si="1"/>
        <v>17.950000000000003</v>
      </c>
      <c r="M11"/>
      <c r="N11" s="2">
        <v>17</v>
      </c>
      <c r="O11">
        <f t="shared" si="2"/>
        <v>0.28500000000000003</v>
      </c>
      <c r="P11" s="2">
        <v>1199</v>
      </c>
      <c r="Q11" s="2">
        <f t="shared" si="0"/>
        <v>1599</v>
      </c>
    </row>
    <row r="12" spans="1:17" x14ac:dyDescent="0.25">
      <c r="A12" t="s">
        <v>34</v>
      </c>
      <c r="B12" t="s">
        <v>35</v>
      </c>
      <c r="C12">
        <v>-1</v>
      </c>
      <c r="D12">
        <v>0.1</v>
      </c>
      <c r="E12">
        <v>-10</v>
      </c>
      <c r="F12">
        <v>-16</v>
      </c>
      <c r="G12">
        <v>0</v>
      </c>
      <c r="H12">
        <v>0.02</v>
      </c>
      <c r="I12">
        <v>20</v>
      </c>
      <c r="J12">
        <v>0.01</v>
      </c>
      <c r="K12">
        <v>500</v>
      </c>
      <c r="L12" s="1">
        <f t="shared" si="1"/>
        <v>15.049999999999999</v>
      </c>
      <c r="N12">
        <v>4.5999999999999996</v>
      </c>
      <c r="O12">
        <f t="shared" si="2"/>
        <v>9.8999999999999991E-2</v>
      </c>
      <c r="P12">
        <v>138</v>
      </c>
      <c r="Q12">
        <f t="shared" si="0"/>
        <v>538</v>
      </c>
    </row>
    <row r="13" spans="1:17" s="2" customFormat="1" x14ac:dyDescent="0.25">
      <c r="A13" s="2" t="s">
        <v>36</v>
      </c>
      <c r="B13" s="2" t="s">
        <v>37</v>
      </c>
      <c r="C13" s="2">
        <v>-5</v>
      </c>
      <c r="D13" s="2">
        <v>0.33</v>
      </c>
      <c r="E13" s="2">
        <v>-12</v>
      </c>
      <c r="F13" s="2">
        <v>-22</v>
      </c>
      <c r="G13" s="2">
        <v>-0.15</v>
      </c>
      <c r="H13" s="2">
        <v>0.1</v>
      </c>
      <c r="I13" s="2">
        <v>80</v>
      </c>
      <c r="J13" s="2">
        <v>-0.18</v>
      </c>
      <c r="K13" s="2">
        <v>1200</v>
      </c>
      <c r="L13" s="1">
        <f t="shared" si="1"/>
        <v>16</v>
      </c>
      <c r="M13"/>
      <c r="N13" s="2">
        <v>22</v>
      </c>
      <c r="O13">
        <f t="shared" si="2"/>
        <v>0.36</v>
      </c>
      <c r="P13" s="2">
        <v>999</v>
      </c>
      <c r="Q13" s="2">
        <f t="shared" si="0"/>
        <v>1399</v>
      </c>
    </row>
    <row r="14" spans="1:17" x14ac:dyDescent="0.25">
      <c r="A14" t="s">
        <v>38</v>
      </c>
      <c r="B14" t="s">
        <v>39</v>
      </c>
      <c r="C14">
        <v>0</v>
      </c>
      <c r="D14">
        <v>0.08</v>
      </c>
      <c r="E14">
        <v>-15</v>
      </c>
      <c r="F14">
        <v>-11</v>
      </c>
      <c r="G14">
        <v>0</v>
      </c>
      <c r="H14">
        <v>0</v>
      </c>
      <c r="I14">
        <v>0</v>
      </c>
      <c r="J14">
        <v>0</v>
      </c>
      <c r="K14">
        <v>400</v>
      </c>
      <c r="L14" s="1">
        <f t="shared" si="1"/>
        <v>17</v>
      </c>
      <c r="N14">
        <v>3.2</v>
      </c>
      <c r="O14">
        <f t="shared" si="2"/>
        <v>7.8E-2</v>
      </c>
      <c r="P14">
        <v>47.45</v>
      </c>
      <c r="Q14">
        <f t="shared" si="0"/>
        <v>447.45</v>
      </c>
    </row>
    <row r="15" spans="1:17" x14ac:dyDescent="0.25">
      <c r="A15" t="s">
        <v>40</v>
      </c>
      <c r="B15" t="s">
        <v>41</v>
      </c>
      <c r="C15">
        <v>2</v>
      </c>
      <c r="D15">
        <v>7.0000000000000007E-2</v>
      </c>
      <c r="E15">
        <v>-9</v>
      </c>
      <c r="F15">
        <v>-15</v>
      </c>
      <c r="G15">
        <v>0</v>
      </c>
      <c r="H15">
        <v>0</v>
      </c>
      <c r="I15">
        <v>0</v>
      </c>
      <c r="J15">
        <v>0</v>
      </c>
      <c r="K15">
        <v>500</v>
      </c>
      <c r="L15" s="1">
        <f t="shared" si="1"/>
        <v>16.8</v>
      </c>
      <c r="N15">
        <v>2.4</v>
      </c>
      <c r="O15">
        <f t="shared" si="2"/>
        <v>6.6000000000000003E-2</v>
      </c>
      <c r="P15">
        <v>114.35</v>
      </c>
      <c r="Q15">
        <f t="shared" si="0"/>
        <v>514.35</v>
      </c>
    </row>
    <row r="16" spans="1:17" s="2" customFormat="1" x14ac:dyDescent="0.25">
      <c r="A16" s="2" t="s">
        <v>42</v>
      </c>
      <c r="B16" s="2" t="s">
        <v>43</v>
      </c>
      <c r="C16" s="2">
        <v>-5</v>
      </c>
      <c r="D16" s="2">
        <v>0.33</v>
      </c>
      <c r="E16" s="2">
        <v>-16</v>
      </c>
      <c r="F16" s="2">
        <v>-20</v>
      </c>
      <c r="G16" s="2">
        <v>-0.12</v>
      </c>
      <c r="H16" s="2">
        <v>0.1</v>
      </c>
      <c r="I16" s="2">
        <v>70</v>
      </c>
      <c r="J16" s="2">
        <v>-0.15</v>
      </c>
      <c r="K16" s="2">
        <v>1900</v>
      </c>
      <c r="L16" s="1">
        <f t="shared" si="1"/>
        <v>17.5</v>
      </c>
      <c r="M16"/>
      <c r="N16" s="2">
        <v>22</v>
      </c>
      <c r="O16">
        <f t="shared" si="2"/>
        <v>0.36</v>
      </c>
      <c r="P16" s="2">
        <v>1685</v>
      </c>
      <c r="Q16" s="2">
        <f t="shared" si="0"/>
        <v>2085</v>
      </c>
    </row>
    <row r="17" spans="1:17" x14ac:dyDescent="0.25">
      <c r="A17" t="s">
        <v>44</v>
      </c>
      <c r="B17" t="s">
        <v>45</v>
      </c>
      <c r="C17">
        <v>2</v>
      </c>
      <c r="D17">
        <v>7.0000000000000007E-2</v>
      </c>
      <c r="E17">
        <v>-12</v>
      </c>
      <c r="F17">
        <v>-12</v>
      </c>
      <c r="G17">
        <v>0</v>
      </c>
      <c r="H17">
        <v>0</v>
      </c>
      <c r="I17">
        <v>0</v>
      </c>
      <c r="J17">
        <v>0</v>
      </c>
      <c r="K17">
        <v>600</v>
      </c>
      <c r="L17" s="1">
        <f t="shared" si="1"/>
        <v>17.399999999999999</v>
      </c>
      <c r="N17">
        <v>2.2999999999999998</v>
      </c>
      <c r="O17">
        <f t="shared" si="2"/>
        <v>6.4500000000000002E-2</v>
      </c>
      <c r="P17">
        <v>123.75</v>
      </c>
      <c r="Q17">
        <f t="shared" si="0"/>
        <v>523.75</v>
      </c>
    </row>
    <row r="18" spans="1:17" s="2" customFormat="1" x14ac:dyDescent="0.25">
      <c r="A18" s="2" t="s">
        <v>46</v>
      </c>
      <c r="B18" s="2" t="s">
        <v>47</v>
      </c>
      <c r="C18" s="2">
        <v>-1</v>
      </c>
      <c r="D18" s="2">
        <v>0.23</v>
      </c>
      <c r="E18" s="2">
        <v>-15</v>
      </c>
      <c r="F18" s="2">
        <v>-15</v>
      </c>
      <c r="G18" s="2">
        <v>-0.06</v>
      </c>
      <c r="H18" s="2">
        <v>0.04</v>
      </c>
      <c r="I18" s="2">
        <v>50</v>
      </c>
      <c r="J18" s="2">
        <v>-0.06</v>
      </c>
      <c r="K18" s="2">
        <v>1800</v>
      </c>
      <c r="L18" s="1">
        <f t="shared" si="1"/>
        <v>17.349999999999998</v>
      </c>
      <c r="M18"/>
      <c r="N18" s="2">
        <v>13.9</v>
      </c>
      <c r="O18">
        <f t="shared" si="2"/>
        <v>0.23849999999999999</v>
      </c>
      <c r="P18" s="2">
        <v>1650</v>
      </c>
      <c r="Q18" s="2">
        <f t="shared" si="0"/>
        <v>2050</v>
      </c>
    </row>
    <row r="19" spans="1:17" s="2" customFormat="1" x14ac:dyDescent="0.25">
      <c r="A19" s="2" t="s">
        <v>48</v>
      </c>
      <c r="B19" s="2" t="s">
        <v>49</v>
      </c>
      <c r="C19" s="2">
        <v>-5</v>
      </c>
      <c r="D19" s="2">
        <v>0.31</v>
      </c>
      <c r="E19" s="2">
        <v>-18</v>
      </c>
      <c r="F19" s="2">
        <v>-18</v>
      </c>
      <c r="G19" s="2">
        <v>-0.1</v>
      </c>
      <c r="H19" s="2">
        <v>0.08</v>
      </c>
      <c r="I19" s="2">
        <v>70</v>
      </c>
      <c r="J19" s="2">
        <v>-0.14000000000000001</v>
      </c>
      <c r="K19" s="2">
        <v>2000</v>
      </c>
      <c r="L19" s="1">
        <f t="shared" si="1"/>
        <v>17.650000000000002</v>
      </c>
      <c r="M19"/>
      <c r="N19" s="2">
        <v>19.2</v>
      </c>
      <c r="O19">
        <f t="shared" si="2"/>
        <v>0.31799999999999995</v>
      </c>
      <c r="P19" s="2">
        <v>1800</v>
      </c>
      <c r="Q19" s="2">
        <f t="shared" si="0"/>
        <v>2200</v>
      </c>
    </row>
    <row r="20" spans="1:17" x14ac:dyDescent="0.25">
      <c r="A20" t="s">
        <v>50</v>
      </c>
      <c r="B20" t="s">
        <v>51</v>
      </c>
      <c r="C20">
        <v>1</v>
      </c>
      <c r="D20">
        <v>0.13</v>
      </c>
      <c r="E20">
        <v>-8</v>
      </c>
      <c r="F20">
        <v>-18</v>
      </c>
      <c r="G20">
        <v>0</v>
      </c>
      <c r="H20">
        <v>0.02</v>
      </c>
      <c r="I20">
        <v>40</v>
      </c>
      <c r="J20">
        <v>0.01</v>
      </c>
      <c r="K20">
        <v>300</v>
      </c>
      <c r="L20" s="1">
        <f t="shared" si="1"/>
        <v>16.149999999999999</v>
      </c>
      <c r="N20">
        <v>7.2</v>
      </c>
      <c r="O20">
        <f t="shared" si="2"/>
        <v>0.13800000000000001</v>
      </c>
      <c r="P20">
        <v>25.95</v>
      </c>
      <c r="Q20">
        <f t="shared" si="0"/>
        <v>425.95</v>
      </c>
    </row>
    <row r="21" spans="1:17" x14ac:dyDescent="0.25">
      <c r="A21" t="s">
        <v>52</v>
      </c>
      <c r="B21" t="s">
        <v>53</v>
      </c>
      <c r="C21">
        <v>2</v>
      </c>
      <c r="D21">
        <v>0.06</v>
      </c>
      <c r="E21">
        <v>-9</v>
      </c>
      <c r="F21">
        <v>-9</v>
      </c>
      <c r="G21">
        <v>0</v>
      </c>
      <c r="H21">
        <v>0</v>
      </c>
      <c r="I21">
        <v>0</v>
      </c>
      <c r="J21">
        <v>0</v>
      </c>
      <c r="K21">
        <v>0</v>
      </c>
      <c r="L21" s="1">
        <f t="shared" si="1"/>
        <v>13.399999999999999</v>
      </c>
      <c r="N21">
        <v>1.9</v>
      </c>
      <c r="O21">
        <f t="shared" si="2"/>
        <v>5.8499999999999996E-2</v>
      </c>
      <c r="P21">
        <v>8.99</v>
      </c>
      <c r="Q21">
        <f t="shared" si="0"/>
        <v>408.99</v>
      </c>
    </row>
    <row r="22" spans="1:17" s="2" customFormat="1" x14ac:dyDescent="0.25">
      <c r="A22" s="2" t="s">
        <v>54</v>
      </c>
      <c r="B22" s="2" t="s">
        <v>55</v>
      </c>
      <c r="C22" s="2">
        <v>-5</v>
      </c>
      <c r="D22" s="2">
        <v>0.22</v>
      </c>
      <c r="E22" s="2">
        <v>-15</v>
      </c>
      <c r="F22" s="2">
        <v>-16</v>
      </c>
      <c r="G22" s="2">
        <v>-0.12</v>
      </c>
      <c r="H22" s="2">
        <v>0.1</v>
      </c>
      <c r="I22" s="2">
        <v>80</v>
      </c>
      <c r="J22" s="2">
        <v>-0.16</v>
      </c>
      <c r="K22" s="2">
        <v>1300</v>
      </c>
      <c r="L22" s="1">
        <f t="shared" si="1"/>
        <v>16.599999999999998</v>
      </c>
      <c r="M22"/>
      <c r="N22" s="2">
        <v>12.8</v>
      </c>
      <c r="O22">
        <f t="shared" si="2"/>
        <v>0.222</v>
      </c>
      <c r="P22" s="2">
        <v>999</v>
      </c>
      <c r="Q22" s="2">
        <f t="shared" si="0"/>
        <v>1399</v>
      </c>
    </row>
    <row r="23" spans="1:17" x14ac:dyDescent="0.25">
      <c r="A23" t="s">
        <v>56</v>
      </c>
      <c r="B23" t="s">
        <v>57</v>
      </c>
      <c r="C23">
        <v>0</v>
      </c>
      <c r="D23">
        <v>0.06</v>
      </c>
      <c r="E23">
        <v>-4</v>
      </c>
      <c r="F23">
        <v>-5</v>
      </c>
      <c r="G23">
        <v>0</v>
      </c>
      <c r="H23">
        <v>0.01</v>
      </c>
      <c r="I23">
        <v>10</v>
      </c>
      <c r="J23">
        <v>0</v>
      </c>
      <c r="K23">
        <v>300</v>
      </c>
      <c r="L23" s="1">
        <f t="shared" si="1"/>
        <v>5.25</v>
      </c>
      <c r="O23">
        <f t="shared" si="2"/>
        <v>0.03</v>
      </c>
      <c r="Q23">
        <f t="shared" si="0"/>
        <v>400</v>
      </c>
    </row>
    <row r="24" spans="1:17" s="2" customFormat="1" x14ac:dyDescent="0.25">
      <c r="A24" s="2" t="s">
        <v>58</v>
      </c>
      <c r="B24" s="2" t="s">
        <v>59</v>
      </c>
      <c r="C24" s="2">
        <v>-5</v>
      </c>
      <c r="D24" s="2">
        <v>0.27</v>
      </c>
      <c r="E24" s="2">
        <v>-19</v>
      </c>
      <c r="F24" s="2">
        <v>-14</v>
      </c>
      <c r="G24" s="2">
        <v>-0.08</v>
      </c>
      <c r="H24" s="2">
        <v>0.06</v>
      </c>
      <c r="I24" s="2">
        <v>70</v>
      </c>
      <c r="J24" s="2">
        <v>-0.18</v>
      </c>
      <c r="K24" s="2">
        <v>1400</v>
      </c>
      <c r="L24" s="1">
        <f t="shared" si="1"/>
        <v>16.45</v>
      </c>
      <c r="M24"/>
      <c r="N24" s="2">
        <v>17.399999999999999</v>
      </c>
      <c r="O24">
        <f t="shared" si="2"/>
        <v>0.29099999999999993</v>
      </c>
      <c r="P24" s="2">
        <v>1099</v>
      </c>
      <c r="Q24" s="2">
        <f t="shared" si="0"/>
        <v>1499</v>
      </c>
    </row>
    <row r="25" spans="1:17" x14ac:dyDescent="0.25">
      <c r="A25" t="s">
        <v>60</v>
      </c>
      <c r="B25" t="s">
        <v>61</v>
      </c>
      <c r="C25">
        <v>0</v>
      </c>
      <c r="D25">
        <v>0.08</v>
      </c>
      <c r="E25">
        <v>-16</v>
      </c>
      <c r="F25">
        <v>-10</v>
      </c>
      <c r="G25">
        <v>0</v>
      </c>
      <c r="H25">
        <v>0</v>
      </c>
      <c r="I25">
        <v>0</v>
      </c>
      <c r="J25">
        <v>0.06</v>
      </c>
      <c r="K25">
        <v>500</v>
      </c>
      <c r="L25" s="1">
        <f t="shared" si="1"/>
        <v>16.900000000000002</v>
      </c>
      <c r="N25">
        <v>3.84</v>
      </c>
      <c r="O25">
        <f t="shared" si="2"/>
        <v>8.7599999999999997E-2</v>
      </c>
      <c r="P25">
        <v>151</v>
      </c>
      <c r="Q25">
        <f t="shared" si="0"/>
        <v>551</v>
      </c>
    </row>
    <row r="26" spans="1:17" s="2" customFormat="1" x14ac:dyDescent="0.25">
      <c r="A26" s="2" t="s">
        <v>62</v>
      </c>
      <c r="B26" s="2" t="s">
        <v>63</v>
      </c>
      <c r="C26" s="2">
        <v>-6</v>
      </c>
      <c r="D26" s="2">
        <v>0.28000000000000003</v>
      </c>
      <c r="E26" s="2">
        <v>-17</v>
      </c>
      <c r="F26" s="2">
        <v>-19</v>
      </c>
      <c r="G26" s="2">
        <v>-0.1</v>
      </c>
      <c r="H26" s="2">
        <v>0.1</v>
      </c>
      <c r="I26" s="2">
        <v>70</v>
      </c>
      <c r="J26" s="2">
        <v>-0.17</v>
      </c>
      <c r="K26" s="2">
        <v>1200</v>
      </c>
      <c r="L26" s="1">
        <f t="shared" si="1"/>
        <v>17.600000000000001</v>
      </c>
      <c r="M26"/>
      <c r="N26" s="2">
        <v>16.760000000000002</v>
      </c>
      <c r="O26">
        <f t="shared" si="2"/>
        <v>0.28139999999999998</v>
      </c>
      <c r="P26" s="2">
        <v>899.99</v>
      </c>
      <c r="Q26" s="2">
        <f t="shared" si="0"/>
        <v>1299.99</v>
      </c>
    </row>
    <row r="27" spans="1:17" x14ac:dyDescent="0.25">
      <c r="A27" t="s">
        <v>64</v>
      </c>
      <c r="B27" t="s">
        <v>65</v>
      </c>
      <c r="C27">
        <v>-1</v>
      </c>
      <c r="D27">
        <v>0.09</v>
      </c>
      <c r="E27">
        <v>-18</v>
      </c>
      <c r="F27">
        <v>-10</v>
      </c>
      <c r="G27">
        <v>0</v>
      </c>
      <c r="H27">
        <v>0</v>
      </c>
      <c r="I27">
        <v>0</v>
      </c>
      <c r="J27">
        <v>7.0000000000000007E-2</v>
      </c>
      <c r="K27">
        <v>400</v>
      </c>
      <c r="L27" s="1">
        <f t="shared" si="1"/>
        <v>17.25</v>
      </c>
      <c r="N27">
        <v>4.4000000000000004</v>
      </c>
      <c r="O27">
        <f t="shared" si="2"/>
        <v>9.6000000000000002E-2</v>
      </c>
      <c r="Q27">
        <f t="shared" si="0"/>
        <v>400</v>
      </c>
    </row>
    <row r="28" spans="1:17" x14ac:dyDescent="0.25">
      <c r="A28" t="s">
        <v>66</v>
      </c>
      <c r="B28" t="s">
        <v>67</v>
      </c>
      <c r="C28">
        <v>1</v>
      </c>
      <c r="D28">
        <v>0.1</v>
      </c>
      <c r="E28">
        <v>-11</v>
      </c>
      <c r="F28">
        <v>-16</v>
      </c>
      <c r="G28">
        <v>0</v>
      </c>
      <c r="H28">
        <v>0</v>
      </c>
      <c r="I28">
        <v>0</v>
      </c>
      <c r="J28">
        <v>0.01</v>
      </c>
      <c r="K28">
        <v>500</v>
      </c>
      <c r="L28" s="1">
        <f t="shared" si="1"/>
        <v>17.349999999999998</v>
      </c>
      <c r="N28">
        <v>4.8</v>
      </c>
      <c r="O28">
        <f t="shared" si="2"/>
        <v>0.10199999999999999</v>
      </c>
      <c r="P28">
        <v>64.989999999999995</v>
      </c>
      <c r="Q28">
        <f t="shared" si="0"/>
        <v>464.99</v>
      </c>
    </row>
    <row r="29" spans="1:17" s="2" customFormat="1" x14ac:dyDescent="0.25">
      <c r="A29" s="2" t="s">
        <v>68</v>
      </c>
      <c r="B29" s="2" t="s">
        <v>69</v>
      </c>
      <c r="C29" s="2">
        <v>-1</v>
      </c>
      <c r="D29" s="2">
        <v>0.3</v>
      </c>
      <c r="E29" s="2">
        <v>-13</v>
      </c>
      <c r="F29" s="2">
        <v>-19</v>
      </c>
      <c r="G29" s="2">
        <v>-0.04</v>
      </c>
      <c r="H29" s="2">
        <v>0.04</v>
      </c>
      <c r="I29" s="2">
        <v>40</v>
      </c>
      <c r="J29" s="2">
        <v>-0.08</v>
      </c>
      <c r="K29" s="2">
        <v>1500</v>
      </c>
      <c r="L29" s="1">
        <f t="shared" si="1"/>
        <v>16.599999999999998</v>
      </c>
      <c r="M29"/>
      <c r="O29">
        <f t="shared" si="2"/>
        <v>0.03</v>
      </c>
      <c r="Q29" s="2">
        <f t="shared" si="0"/>
        <v>400</v>
      </c>
    </row>
    <row r="30" spans="1:17" s="2" customFormat="1" x14ac:dyDescent="0.25">
      <c r="A30" s="2" t="s">
        <v>70</v>
      </c>
      <c r="B30" s="2" t="s">
        <v>71</v>
      </c>
      <c r="C30" s="2">
        <v>-4</v>
      </c>
      <c r="D30" s="2">
        <v>0.35</v>
      </c>
      <c r="E30" s="2">
        <v>-15</v>
      </c>
      <c r="F30" s="2">
        <v>-20</v>
      </c>
      <c r="G30" s="2">
        <v>-0.08</v>
      </c>
      <c r="H30" s="2">
        <v>0.08</v>
      </c>
      <c r="I30" s="2">
        <v>60</v>
      </c>
      <c r="J30" s="2">
        <v>-0.14000000000000001</v>
      </c>
      <c r="K30" s="2">
        <v>1600</v>
      </c>
      <c r="L30" s="1">
        <f t="shared" si="1"/>
        <v>16.400000000000002</v>
      </c>
      <c r="M30"/>
      <c r="N30" s="2">
        <v>22.2</v>
      </c>
      <c r="O30">
        <f t="shared" si="2"/>
        <v>0.36299999999999999</v>
      </c>
      <c r="P30" s="2">
        <v>797.99</v>
      </c>
      <c r="Q30" s="2">
        <f t="shared" si="0"/>
        <v>1197.99</v>
      </c>
    </row>
    <row r="31" spans="1:17" x14ac:dyDescent="0.25">
      <c r="A31" t="s">
        <v>72</v>
      </c>
      <c r="B31" t="s">
        <v>73</v>
      </c>
      <c r="C31">
        <v>-1</v>
      </c>
      <c r="D31">
        <v>0.1</v>
      </c>
      <c r="E31">
        <v>-16</v>
      </c>
      <c r="F31">
        <v>-13</v>
      </c>
      <c r="G31">
        <v>0</v>
      </c>
      <c r="H31">
        <v>0</v>
      </c>
      <c r="I31">
        <v>0</v>
      </c>
      <c r="J31">
        <v>0.05</v>
      </c>
      <c r="K31">
        <v>600</v>
      </c>
      <c r="L31" s="1">
        <f t="shared" si="1"/>
        <v>17.350000000000001</v>
      </c>
      <c r="N31">
        <v>3.8</v>
      </c>
      <c r="O31">
        <f t="shared" si="2"/>
        <v>8.6999999999999994E-2</v>
      </c>
      <c r="P31">
        <v>200</v>
      </c>
      <c r="Q31">
        <f t="shared" si="0"/>
        <v>600</v>
      </c>
    </row>
    <row r="32" spans="1:17" x14ac:dyDescent="0.25">
      <c r="A32" t="s">
        <v>74</v>
      </c>
      <c r="B32" t="s">
        <v>75</v>
      </c>
      <c r="C32">
        <v>-1</v>
      </c>
      <c r="D32">
        <v>0.08</v>
      </c>
      <c r="E32">
        <v>-13</v>
      </c>
      <c r="F32">
        <v>-16</v>
      </c>
      <c r="G32">
        <v>0</v>
      </c>
      <c r="H32">
        <v>0</v>
      </c>
      <c r="I32">
        <v>0</v>
      </c>
      <c r="J32">
        <v>0.04</v>
      </c>
      <c r="K32">
        <v>500</v>
      </c>
      <c r="L32" s="1">
        <f t="shared" si="1"/>
        <v>17.2</v>
      </c>
      <c r="N32">
        <v>3.6</v>
      </c>
      <c r="O32">
        <f t="shared" si="2"/>
        <v>8.3999999999999991E-2</v>
      </c>
      <c r="P32">
        <v>43.95</v>
      </c>
      <c r="Q32">
        <f t="shared" si="0"/>
        <v>443.95</v>
      </c>
    </row>
    <row r="33" spans="1:17" s="3" customFormat="1" x14ac:dyDescent="0.25">
      <c r="A33" s="3" t="s">
        <v>76</v>
      </c>
      <c r="B33" s="3" t="s">
        <v>77</v>
      </c>
      <c r="C33" s="3">
        <v>1</v>
      </c>
      <c r="D33" s="3">
        <v>0.17</v>
      </c>
      <c r="E33" s="3">
        <v>-13</v>
      </c>
      <c r="F33" s="3">
        <v>-14</v>
      </c>
      <c r="G33" s="3">
        <v>0</v>
      </c>
      <c r="H33" s="3">
        <v>0.02</v>
      </c>
      <c r="I33" s="3">
        <v>20</v>
      </c>
      <c r="J33" s="3">
        <v>0</v>
      </c>
      <c r="K33" s="3">
        <v>1000</v>
      </c>
      <c r="L33" s="1">
        <f t="shared" si="1"/>
        <v>16.899999999999999</v>
      </c>
      <c r="M33"/>
      <c r="N33" s="3">
        <v>9.5</v>
      </c>
      <c r="O33">
        <f t="shared" si="2"/>
        <v>0.17249999999999999</v>
      </c>
    </row>
    <row r="34" spans="1:17" x14ac:dyDescent="0.25">
      <c r="A34" t="s">
        <v>78</v>
      </c>
      <c r="B34" t="s">
        <v>79</v>
      </c>
      <c r="C34">
        <v>2</v>
      </c>
      <c r="D34">
        <v>0.12</v>
      </c>
      <c r="E34">
        <v>-11</v>
      </c>
      <c r="F34">
        <v>-12</v>
      </c>
      <c r="G34">
        <v>0</v>
      </c>
      <c r="H34">
        <v>0</v>
      </c>
      <c r="I34">
        <v>0</v>
      </c>
      <c r="J34">
        <v>0</v>
      </c>
      <c r="K34">
        <v>500</v>
      </c>
      <c r="L34" s="1">
        <f t="shared" si="1"/>
        <v>15.6</v>
      </c>
      <c r="N34">
        <v>6.5</v>
      </c>
      <c r="O34">
        <f t="shared" si="2"/>
        <v>0.1275</v>
      </c>
    </row>
    <row r="35" spans="1:17" x14ac:dyDescent="0.25">
      <c r="A35" t="s">
        <v>80</v>
      </c>
      <c r="B35" t="s">
        <v>81</v>
      </c>
      <c r="C35">
        <v>2</v>
      </c>
      <c r="D35">
        <v>0.04</v>
      </c>
      <c r="E35">
        <v>-11</v>
      </c>
      <c r="F35">
        <v>-13</v>
      </c>
      <c r="G35">
        <v>0</v>
      </c>
      <c r="H35">
        <v>0</v>
      </c>
      <c r="I35">
        <v>0</v>
      </c>
      <c r="J35">
        <v>0</v>
      </c>
      <c r="K35">
        <v>500</v>
      </c>
      <c r="L35" s="1">
        <f t="shared" si="1"/>
        <v>17.8</v>
      </c>
      <c r="O35">
        <f t="shared" ref="O35" si="3">N35*0.015</f>
        <v>0</v>
      </c>
    </row>
    <row r="36" spans="1:17" x14ac:dyDescent="0.25">
      <c r="L36" s="1">
        <f t="shared" si="1"/>
        <v>0</v>
      </c>
    </row>
    <row r="37" spans="1:17" x14ac:dyDescent="0.25">
      <c r="A37" t="s">
        <v>82</v>
      </c>
      <c r="B37" t="s">
        <v>83</v>
      </c>
      <c r="C37">
        <v>1</v>
      </c>
      <c r="D37">
        <v>0.08</v>
      </c>
      <c r="E37">
        <v>-13</v>
      </c>
      <c r="F37">
        <v>-11</v>
      </c>
      <c r="G37">
        <v>0</v>
      </c>
      <c r="H37">
        <v>0.02</v>
      </c>
      <c r="I37">
        <v>50</v>
      </c>
      <c r="J37">
        <v>0</v>
      </c>
      <c r="L37" s="1">
        <f t="shared" si="1"/>
        <v>17.049999999999997</v>
      </c>
      <c r="O37">
        <f>N37*0.015</f>
        <v>0</v>
      </c>
      <c r="Q37">
        <f>P37+400</f>
        <v>400</v>
      </c>
    </row>
    <row r="38" spans="1:17" x14ac:dyDescent="0.25">
      <c r="A38" t="s">
        <v>84</v>
      </c>
      <c r="B38" t="s">
        <v>85</v>
      </c>
      <c r="C38">
        <v>1</v>
      </c>
      <c r="D38">
        <v>0.09</v>
      </c>
      <c r="E38">
        <v>-12</v>
      </c>
      <c r="F38">
        <v>-13</v>
      </c>
      <c r="G38">
        <v>0</v>
      </c>
      <c r="H38">
        <v>0</v>
      </c>
      <c r="I38">
        <v>60</v>
      </c>
      <c r="J38">
        <v>0</v>
      </c>
      <c r="K38">
        <v>500</v>
      </c>
      <c r="L38" s="1">
        <f t="shared" si="1"/>
        <v>16.900000000000002</v>
      </c>
      <c r="O38">
        <f>N38*0.015</f>
        <v>0</v>
      </c>
      <c r="Q38">
        <f>P38+400</f>
        <v>400</v>
      </c>
    </row>
    <row r="39" spans="1:17" x14ac:dyDescent="0.25">
      <c r="A39" t="s">
        <v>86</v>
      </c>
      <c r="B39" t="s">
        <v>87</v>
      </c>
      <c r="C39">
        <v>0</v>
      </c>
      <c r="D39">
        <v>0.1</v>
      </c>
      <c r="E39">
        <v>-13</v>
      </c>
      <c r="F39">
        <v>-14</v>
      </c>
      <c r="G39">
        <v>0</v>
      </c>
      <c r="H39">
        <v>0</v>
      </c>
      <c r="I39">
        <v>0</v>
      </c>
      <c r="J39">
        <v>0.04</v>
      </c>
      <c r="K39">
        <v>750</v>
      </c>
      <c r="L39" s="1">
        <f t="shared" si="1"/>
        <v>16.600000000000001</v>
      </c>
      <c r="O39">
        <f>N39*0.015</f>
        <v>0</v>
      </c>
      <c r="Q39">
        <f>P39+400</f>
        <v>400</v>
      </c>
    </row>
    <row r="40" spans="1:17" s="2" customFormat="1" x14ac:dyDescent="0.25">
      <c r="A40" s="2" t="s">
        <v>88</v>
      </c>
      <c r="B40" s="2" t="s">
        <v>89</v>
      </c>
      <c r="C40" s="2">
        <v>-3</v>
      </c>
      <c r="D40" s="2">
        <v>0.28999999999999998</v>
      </c>
      <c r="E40" s="2">
        <v>-16</v>
      </c>
      <c r="F40" s="2">
        <v>-17</v>
      </c>
      <c r="G40" s="2">
        <v>-0.08</v>
      </c>
      <c r="H40" s="2">
        <v>0.06</v>
      </c>
      <c r="I40" s="2">
        <v>50</v>
      </c>
      <c r="J40" s="2">
        <v>-0.13</v>
      </c>
      <c r="K40" s="2">
        <v>1800</v>
      </c>
      <c r="L40" s="1">
        <f t="shared" si="1"/>
        <v>17.099999999999998</v>
      </c>
      <c r="M40"/>
    </row>
    <row r="41" spans="1:17" x14ac:dyDescent="0.25">
      <c r="A41" t="s">
        <v>90</v>
      </c>
      <c r="B41" t="s">
        <v>91</v>
      </c>
      <c r="C41">
        <v>0</v>
      </c>
      <c r="D41">
        <v>0.06</v>
      </c>
      <c r="E41">
        <v>0</v>
      </c>
      <c r="F41">
        <v>0</v>
      </c>
      <c r="G41">
        <v>0.05</v>
      </c>
      <c r="H41">
        <v>0.01</v>
      </c>
      <c r="I41">
        <v>30</v>
      </c>
      <c r="J41">
        <v>0</v>
      </c>
      <c r="K41">
        <v>1500</v>
      </c>
      <c r="L41" s="1">
        <f t="shared" si="1"/>
        <v>-1.35</v>
      </c>
      <c r="O41">
        <f>N41*0.015</f>
        <v>0</v>
      </c>
      <c r="Q41">
        <f>P41+400</f>
        <v>400</v>
      </c>
    </row>
    <row r="42" spans="1:17" x14ac:dyDescent="0.25">
      <c r="L42" s="1">
        <f t="shared" si="1"/>
        <v>0</v>
      </c>
    </row>
    <row r="43" spans="1:17" x14ac:dyDescent="0.25">
      <c r="A43" t="s">
        <v>92</v>
      </c>
      <c r="B43" t="s">
        <v>93</v>
      </c>
      <c r="C43">
        <v>-3</v>
      </c>
      <c r="D43">
        <v>0.17</v>
      </c>
      <c r="E43">
        <v>0</v>
      </c>
      <c r="F43">
        <v>0</v>
      </c>
      <c r="G43">
        <v>0.2</v>
      </c>
      <c r="H43">
        <v>0.03</v>
      </c>
      <c r="I43">
        <v>80</v>
      </c>
      <c r="J43">
        <v>-0.02</v>
      </c>
      <c r="K43">
        <v>600</v>
      </c>
      <c r="L43" s="1">
        <f t="shared" si="1"/>
        <v>-7.3000000000000007</v>
      </c>
      <c r="O43">
        <f>N43*0.015</f>
        <v>0</v>
      </c>
      <c r="P43">
        <v>59.99</v>
      </c>
      <c r="Q43">
        <f>P43+400</f>
        <v>459.99</v>
      </c>
    </row>
    <row r="44" spans="1:17" x14ac:dyDescent="0.25">
      <c r="A44" t="s">
        <v>94</v>
      </c>
      <c r="B44" t="s">
        <v>95</v>
      </c>
      <c r="C44">
        <v>-2</v>
      </c>
      <c r="D44">
        <v>0.09</v>
      </c>
      <c r="E44">
        <v>0</v>
      </c>
      <c r="F44">
        <v>0</v>
      </c>
      <c r="G44">
        <v>0.1</v>
      </c>
      <c r="H44">
        <v>0.02</v>
      </c>
      <c r="I44">
        <v>40</v>
      </c>
      <c r="J44">
        <v>-0.01</v>
      </c>
      <c r="K44">
        <v>500</v>
      </c>
      <c r="L44" s="1">
        <f t="shared" si="1"/>
        <v>-4.1499999999999995</v>
      </c>
      <c r="O44">
        <f>N44*0.015</f>
        <v>0</v>
      </c>
      <c r="P44">
        <v>44.99</v>
      </c>
      <c r="Q44">
        <f>P44+400</f>
        <v>444.99</v>
      </c>
    </row>
    <row r="45" spans="1:17" x14ac:dyDescent="0.25">
      <c r="A45" t="s">
        <v>96</v>
      </c>
      <c r="B45" t="s">
        <v>97</v>
      </c>
      <c r="C45">
        <v>-1</v>
      </c>
      <c r="D45">
        <v>0.05</v>
      </c>
      <c r="E45">
        <v>0</v>
      </c>
      <c r="F45">
        <v>0</v>
      </c>
      <c r="G45">
        <v>0.05</v>
      </c>
      <c r="H45">
        <v>0.01</v>
      </c>
      <c r="I45">
        <v>20</v>
      </c>
      <c r="J45">
        <v>0</v>
      </c>
      <c r="K45">
        <v>400</v>
      </c>
      <c r="L45" s="1">
        <f t="shared" si="1"/>
        <v>-2.1999999999999997</v>
      </c>
      <c r="O45">
        <f>N45*0.015</f>
        <v>0</v>
      </c>
      <c r="P45">
        <v>29.99</v>
      </c>
      <c r="Q45">
        <f>P45+400</f>
        <v>429.99</v>
      </c>
    </row>
    <row r="46" spans="1:17" x14ac:dyDescent="0.25">
      <c r="A46" t="s">
        <v>98</v>
      </c>
      <c r="B46" t="s">
        <v>99</v>
      </c>
      <c r="C46">
        <v>-1</v>
      </c>
      <c r="D46">
        <v>0.06</v>
      </c>
      <c r="E46">
        <v>2</v>
      </c>
      <c r="F46">
        <v>2</v>
      </c>
      <c r="G46">
        <v>0.2</v>
      </c>
      <c r="I46">
        <v>-200</v>
      </c>
      <c r="J46">
        <v>0</v>
      </c>
      <c r="K46">
        <v>1000</v>
      </c>
      <c r="L46" s="1">
        <f t="shared" si="1"/>
        <v>-8</v>
      </c>
    </row>
    <row r="47" spans="1:17" x14ac:dyDescent="0.25">
      <c r="L47" s="1">
        <f t="shared" si="1"/>
        <v>0</v>
      </c>
    </row>
    <row r="48" spans="1:17" x14ac:dyDescent="0.25">
      <c r="A48" t="s">
        <v>100</v>
      </c>
      <c r="B48" t="s">
        <v>101</v>
      </c>
      <c r="C48">
        <v>1</v>
      </c>
      <c r="D48">
        <v>0.03</v>
      </c>
      <c r="K48">
        <v>500</v>
      </c>
      <c r="L48" s="1">
        <f t="shared" si="1"/>
        <v>0.4</v>
      </c>
      <c r="O48">
        <f>N48*0.015</f>
        <v>0</v>
      </c>
      <c r="Q48">
        <f>P48+400</f>
        <v>400</v>
      </c>
    </row>
    <row r="49" spans="1:17" x14ac:dyDescent="0.25">
      <c r="A49" t="s">
        <v>102</v>
      </c>
      <c r="B49" t="s">
        <v>103</v>
      </c>
      <c r="C49">
        <v>1</v>
      </c>
      <c r="D49">
        <v>0.04</v>
      </c>
      <c r="K49">
        <v>500</v>
      </c>
      <c r="L49" s="1">
        <f t="shared" si="1"/>
        <v>0.19999999999999996</v>
      </c>
      <c r="O49">
        <f>N49*0.015</f>
        <v>0</v>
      </c>
      <c r="Q49">
        <f>P49+400</f>
        <v>400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556 Muzzle Loudness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Wen, Yifan  (Student)</cp:lastModifiedBy>
  <cp:revision/>
  <dcterms:created xsi:type="dcterms:W3CDTF">2024-08-19T23:58:55Z</dcterms:created>
  <dcterms:modified xsi:type="dcterms:W3CDTF">2026-08-19T04:03:28Z</dcterms:modified>
  <cp:category/>
  <cp:contentStatus/>
</cp:coreProperties>
</file>