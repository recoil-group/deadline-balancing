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.8x42mm-ammo" sheetId="1" r:id="rId5"/>
    <sheet state="visible" name="Model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tc={07d973c3-3240-4b6d-b4d2-dd51b7756402}</author>
    <author>tc={18e589cf-c611-40e9-b8b6-0a6093a51a54}</author>
    <author>tc={22d7e9e8-6704-4a3a-9e53-a2831f16497e}</author>
    <author>tc={56316c8d-f563-476e-8c92-d02e2932bd21}</author>
    <author>tc={7e5b71a3-5b2a-4b3c-a05e-b93645be7afc}</author>
    <author>tc={96ad1cb5-6c99-4e01-bc8d-8df4b5a3a8ec}</author>
    <author>tc={ec13f47d-e173-43f8-93fd-8797b3c695ee}</author>
  </authors>
  <commentList>
    <comment authorId="0" ref="I9">
      <text>
        <t xml:space="preserve">tentative; considering that it has about the same mass as dvc12</t>
      </text>
    </comment>
    <comment authorId="0" ref="I8">
      <text>
        <t xml:space="preserve">dbp88 has a muzzle velocity of 870 m/s; (870/930) * 2500 = ~2350 st/s</t>
      </text>
    </comment>
    <comment authorId="0" ref="AJ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Linearly interpolates effective velocity between pen_low/pen_high and clamps to those endpoints.</t>
      </text>
    </comment>
    <comment authorId="0" ref="I7">
      <text>
        <t xml:space="preserve">estimating ~900m/s from the same logic as used for dvc12; based on the forum post @ https://forums.delphiforums.com/autogun/messages/7942/1</t>
      </text>
    </comment>
    <comment authorId="0" ref="I5">
      <text>
        <t xml:space="preserve">dbp10 has a muzzle velocity of 915 m/s; (915/930) * 2500 = ~2450 st/s</t>
      </text>
    </comment>
    <comment authorId="0" ref="M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Direct values from calibers.csv. Edit these cells on this sheet to tune the ammo model.</t>
      </text>
    </comment>
    <comment authorId="0" ref="T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Damage formula: MAX(MIN(a × distance + b, c) × d, 0). Distances and weights are on the Model sheet.</t>
      </text>
    </comment>
    <comment authorId="0" ref="A14">
      <text>
        <t xml:space="preserve">notes by @china_ussrussia</t>
      </text>
    </comment>
    <comment authorId="0" ref="AI13">
      <text>
        <t xml:space="preserve">the dbp95/dbp87 cartridges both have a muzzle velocity of ~930 m/s; since this is translated into 2500 st/s i'll do my best to calculate based off this</t>
      </text>
    </comment>
    <comment authorId="0" ref="I14">
      <text>
        <t xml:space="preserve">tentatively done (do check though); if it helps balancing, i would not be opposed to bumping base velo for dbp95 to 2400 st/s</t>
      </text>
    </comment>
    <comment authorId="0" ref="I12">
      <text>
        <t xml:space="preserve">based on how DEA works and its velo numbers while also factoring in that it's heavier than dbp95 and not the same weight - factchecking is impossible but someone do a sanity check or something</t>
      </text>
    </comment>
    <comment authorId="0" ref="I11">
      <text>
        <t xml:space="preserve">dvc12 has a muzzle velocity of 880m/s from the 14.5in qbz-191 barrel and 890 from a 22in SAW barrel; since 18.2 inches is about at the average of those two values i'll estimate about 885m/s from qbz95 barrel unless this is blatantly unnaceptable
(885/930) * 2500 = ~2375 st/s</t>
      </text>
    </comment>
    <comment authorId="0" ref="I10">
      <text>
        <t xml:space="preserve">based on dbp88 values and increased weight - factcheck if possible
impossible to factcheck lmfao, effectively dead cartridge with near 0 info</t>
      </text>
    </comment>
    <comment authorId="1" xr:uid="{07d973c3-3240-4b6d-b4d2-dd51b7756402}" ref="I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dbp10 has a muzzle velocity of 915 m/s; (915/930) * 2500 = ~2450 st/s
</t>
      </text>
    </comment>
    <comment authorId="2" xr:uid="{18e589cf-c611-40e9-b8b6-0a6093a51a54}" ref="I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based on how DEA works and its velo numbers while also factoring in that it's heavier than dbp95 and not the same weight - factchecking is impossible but someone do a sanity check or something
</t>
      </text>
    </comment>
    <comment authorId="3" xr:uid="{22d7e9e8-6704-4a3a-9e53-a2831f16497e}" ref="I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based on dbp88 values and increased weight - factcheck if possible
</t>
      </text>
    </comment>
    <comment authorId="4" xr:uid="{56316c8d-f563-476e-8c92-d02e2932bd21}" ref="I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tentative; considering that it has about the same mass as dvc12
</t>
      </text>
    </comment>
    <comment authorId="5" xr:uid="{7e5b71a3-5b2a-4b3c-a05e-b93645be7afc}" ref="I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dbp88 has a muzzle velocity of 870 m/s; (870/930) * 2500 = ~2350 st/s
</t>
      </text>
    </comment>
    <comment authorId="6" xr:uid="{96ad1cb5-6c99-4e01-bc8d-8df4b5a3a8ec}" ref="I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dvc12 has a muzzle velocity of 880m/s from the 14.5in qbz-191 barrel and 890 from a 22in SAW barrel; since 18.2 inches is about at the average of those two values i'll estimate about 885m/s from qbz95 barrel unless this is blatantly unnaceptable
(885/930) * 2500 = ~2375 st/s
</t>
      </text>
    </comment>
    <comment authorId="7" xr:uid="{ec13f47d-e173-43f8-93fd-8797b3c695ee}" ref="I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estimating ~900m/s from the same logic as used for dvc12; based on the forum post @ https://forums.delphiforums.com/autogun/messages/7942/1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tc={10086d62-48e5-43ef-9d2d-9cb3d4f487c0}</author>
  </authors>
  <commentList>
    <comment authorId="0" ref="B2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Damage distance weights should total 100%.</t>
      </text>
    </comment>
    <comment authorId="1" xr:uid="{10086d62-48e5-43ef-9d2d-9cb3d4f487c0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current dbp95 velocity ingame
</t>
      </text>
    </comment>
  </commentList>
</comments>
</file>

<file path=xl/sharedStrings.xml><?xml version="1.0" encoding="utf-8"?>
<sst xmlns="http://schemas.openxmlformats.org/spreadsheetml/2006/main" count="178" uniqueCount="114">
  <si>
    <t>5.8x42mm ammo scoring model</t>
  </si>
  <si>
    <t>Assumption</t>
  </si>
  <si>
    <t>Value</t>
  </si>
  <si>
    <t>Purpose</t>
  </si>
  <si>
    <t>QBZ-95 base velocity</t>
  </si>
  <si>
    <t>studs/s; add bullet_velocity modifier</t>
  </si>
  <si>
    <t>Damage reference</t>
  </si>
  <si>
    <t>balancing.csv inputs</t>
  </si>
  <si>
    <t>weighted damage scores above/below this</t>
  </si>
  <si>
    <t>Velocity-drop reference</t>
  </si>
  <si>
    <t>calibers.csv damage inputs</t>
  </si>
  <si>
    <t>lower is better</t>
  </si>
  <si>
    <t>Suppression reference</t>
  </si>
  <si>
    <t>higher is better</t>
  </si>
  <si>
    <t>Penetration reference</t>
  </si>
  <si>
    <t>Damage distance weights</t>
  </si>
  <si>
    <t>calculated torso damage by range</t>
  </si>
  <si>
    <t>Distance (studs)</t>
  </si>
  <si>
    <t>calibers.csv traits &amp; penetration inputs</t>
  </si>
  <si>
    <t>penetration model</t>
  </si>
  <si>
    <t>Weight</t>
  </si>
  <si>
    <t>Rationale</t>
  </si>
  <si>
    <t>source audit</t>
  </si>
  <si>
    <t>weighted score</t>
  </si>
  <si>
    <t>close</t>
  </si>
  <si>
    <t>common</t>
  </si>
  <si>
    <t>medium</t>
  </si>
  <si>
    <t>long</t>
  </si>
  <si>
    <t>name</t>
  </si>
  <si>
    <t>very long</t>
  </si>
  <si>
    <t>upper edge</t>
  </si>
  <si>
    <t>Weight check</t>
  </si>
  <si>
    <t>pretty_name</t>
  </si>
  <si>
    <t>ergonomics</t>
  </si>
  <si>
    <t>weight</t>
  </si>
  <si>
    <t>horizontal_recoil</t>
  </si>
  <si>
    <t>vertical_recoil</t>
  </si>
  <si>
    <t>barrel_deviation</t>
  </si>
  <si>
    <t>bullet_damage</t>
  </si>
  <si>
    <t>bullet_velocity</t>
  </si>
  <si>
    <t>fire_rate</t>
  </si>
  <si>
    <t>muzzle_loudness</t>
  </si>
  <si>
    <t>price</t>
  </si>
  <si>
    <t>balancing.csv stat weights</t>
  </si>
  <si>
    <t>damage_torso_a</t>
  </si>
  <si>
    <t>Stat</t>
  </si>
  <si>
    <t>Interpretation</t>
  </si>
  <si>
    <t>damage_torso_b</t>
  </si>
  <si>
    <t>damage_torso_c</t>
  </si>
  <si>
    <t>damage_torso_d</t>
  </si>
  <si>
    <t>damage_arm_d</t>
  </si>
  <si>
    <t>damage_leg_d</t>
  </si>
  <si>
    <t>damage_head_d</t>
  </si>
  <si>
    <t>fractional modifier</t>
  </si>
  <si>
    <t>excluded from performance strength</t>
  </si>
  <si>
    <t>muzzle loudness</t>
  </si>
  <si>
    <t>damage_25</t>
  </si>
  <si>
    <t>damage_75</t>
  </si>
  <si>
    <t>damage_150</t>
  </si>
  <si>
    <t>damage_250</t>
  </si>
  <si>
    <t>damage_375</t>
  </si>
  <si>
    <t>damage_400</t>
  </si>
  <si>
    <t>fractional modifier, lower = better</t>
  </si>
  <si>
    <t>damage_500</t>
  </si>
  <si>
    <t>Ammo-specific metric weights</t>
  </si>
  <si>
    <t>weighted_damage</t>
  </si>
  <si>
    <t>velocity_drop</t>
  </si>
  <si>
    <t>suppression</t>
  </si>
  <si>
    <t>bullet_penetration_ability</t>
  </si>
  <si>
    <t>pen_low</t>
  </si>
  <si>
    <t>pen_high</t>
  </si>
  <si>
    <t>pen_velocity_low</t>
  </si>
  <si>
    <t>pen_velocity_high</t>
  </si>
  <si>
    <t>effective_velocity</t>
  </si>
  <si>
    <t>points per damage above reference</t>
  </si>
  <si>
    <t>small effect; lower is better</t>
  </si>
  <si>
    <t>moderate effect; higher is better</t>
  </si>
  <si>
    <t>penetration</t>
  </si>
  <si>
    <t>calibers_row</t>
  </si>
  <si>
    <t>source_file</t>
  </si>
  <si>
    <t>balance_score</t>
  </si>
  <si>
    <t>damage_score</t>
  </si>
  <si>
    <t>velocity_drop_score</t>
  </si>
  <si>
    <t>suppression_score</t>
  </si>
  <si>
    <t>penetration_score</t>
  </si>
  <si>
    <t>strength</t>
  </si>
  <si>
    <t>5.8x42_sanxian_dbp95_64gr_fmj</t>
  </si>
  <si>
    <t>Sanxian DBP95 64gr FMJ</t>
  </si>
  <si>
    <t>idk lol</t>
  </si>
  <si>
    <t>calibers.csv</t>
  </si>
  <si>
    <t>5.8x42_sanxian_dbx95_64gr_green_tracer</t>
  </si>
  <si>
    <t>Sanxian DBX95 64gr Green Tracer</t>
  </si>
  <si>
    <t>5.8x42_sanxian_dbp10_71gr_fmj</t>
  </si>
  <si>
    <t>Sanxian DBP10 71gr FMJ</t>
  </si>
  <si>
    <t>5.8x42_sanxian_dbx10_71gr_tracer_apbt</t>
  </si>
  <si>
    <t>Sanxian DBX10 71gr Tracer APBT</t>
  </si>
  <si>
    <t>5.8x42_sanxian_dbp191_74gr_fmj</t>
  </si>
  <si>
    <t>Sanxian DBP191 74gr FMJ</t>
  </si>
  <si>
    <t>5.8x42_sanxian_dbp88_77gr_heavy_ball</t>
  </si>
  <si>
    <t>Sanxian DBP88 77gr Heavy Ball</t>
  </si>
  <si>
    <t>5.8x42_sanxian_dbu141_86gr_match</t>
  </si>
  <si>
    <t>Sanxian DBU141 86gr Match Grade</t>
  </si>
  <si>
    <t>5.8x42_sanxian_dvp88_81gr_ap</t>
  </si>
  <si>
    <t>Sanxian DVP88 81gr AP</t>
  </si>
  <si>
    <t>5.8x42_sanxian_dvc12_85gr_ap</t>
  </si>
  <si>
    <t>Sanxian DVC12 85gr AP</t>
  </si>
  <si>
    <t>5.8x42_sanxian_dfv18_76gr_hp</t>
  </si>
  <si>
    <t>Sanxian DVF18 76gr HP</t>
  </si>
  <si>
    <t>✅</t>
  </si>
  <si>
    <t>5.8x42mm Old for Ref</t>
  </si>
  <si>
    <t>dbp95</t>
  </si>
  <si>
    <t>dbx95 grn</t>
  </si>
  <si>
    <t>dbp10</t>
  </si>
  <si>
    <t>i dont know the exact values'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</si>
</sst>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00"/>
    <numFmt numFmtId="166" formatCode="0.0000"/>
  </numFmts>
  <fonts count="18">
    <font>
      <sz val="11.0"/>
      <color rgb="FF000000"/>
      <name val="Carlito"/>
      <scheme val="minor"/>
    </font>
    <font>
      <b/>
      <sz val="16.0"/>
      <color rgb="FFFFFFFF"/>
      <name val="Play"/>
    </font>
    <font/>
    <font>
      <sz val="10.0"/>
      <color rgb="FF1F2933"/>
      <name val="Aptos"/>
    </font>
    <font>
      <b/>
      <sz val="10.0"/>
      <color rgb="FFFFFFFF"/>
      <name val="Aptos"/>
    </font>
    <font>
      <sz val="10.0"/>
      <color rgb="FF1F2933"/>
      <name val="Arial"/>
    </font>
    <font>
      <b/>
      <sz val="9.0"/>
      <color rgb="FFFFFFFF"/>
      <name val="Aptos"/>
    </font>
    <font>
      <b/>
      <sz val="10.0"/>
      <color rgb="FFFFFFFF"/>
      <name val="Carlito"/>
    </font>
    <font>
      <b/>
      <sz val="9.0"/>
      <color rgb="FFFFFFFF"/>
      <name val="Arial"/>
    </font>
    <font>
      <sz val="11.0"/>
      <color theme="1"/>
      <name val="Carlito"/>
    </font>
    <font>
      <sz val="10.0"/>
      <color theme="1"/>
      <name val="Carlito"/>
      <scheme val="minor"/>
    </font>
    <font>
      <sz val="10.0"/>
      <color rgb="FF1F2933"/>
      <name val="Carlito"/>
      <scheme val="minor"/>
    </font>
    <font>
      <sz val="10.0"/>
      <color rgb="FF1F2933"/>
      <name val="Carlito"/>
    </font>
    <font>
      <sz val="9.0"/>
      <color rgb="FF1F2933"/>
      <name val="Carlito"/>
      <scheme val="minor"/>
    </font>
    <font>
      <sz val="10.0"/>
      <color rgb="FFFF0000"/>
      <name val="Carlito"/>
      <scheme val="minor"/>
    </font>
    <font>
      <color rgb="FF1F2933"/>
      <name val="Carlito"/>
    </font>
    <font>
      <sz val="17.0"/>
      <color theme="1"/>
      <name val="Carlito"/>
      <scheme val="minor"/>
    </font>
    <font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2F6B9A"/>
        <bgColor rgb="FF2F6B9A"/>
      </patternFill>
    </fill>
    <fill>
      <patternFill patternType="solid">
        <fgColor rgb="FFEAF3F8"/>
        <bgColor rgb="FFEAF3F8"/>
      </patternFill>
    </fill>
    <fill>
      <patternFill patternType="solid">
        <fgColor rgb="FF385B47"/>
        <bgColor rgb="FF385B47"/>
      </patternFill>
    </fill>
    <fill>
      <patternFill patternType="solid">
        <fgColor rgb="FF684A86"/>
        <bgColor rgb="FF684A86"/>
      </patternFill>
    </fill>
    <fill>
      <patternFill patternType="solid">
        <fgColor rgb="FF9A642D"/>
        <bgColor rgb="FF9A642D"/>
      </patternFill>
    </fill>
    <fill>
      <patternFill patternType="solid">
        <fgColor rgb="FF2C6E73"/>
        <bgColor rgb="FF2C6E73"/>
      </patternFill>
    </fill>
    <fill>
      <patternFill patternType="solid">
        <fgColor rgb="FFF5F7F9"/>
        <bgColor rgb="FFF5F7F9"/>
      </patternFill>
    </fill>
    <fill>
      <patternFill patternType="solid">
        <fgColor rgb="FF52616B"/>
        <bgColor rgb="FF52616B"/>
      </patternFill>
    </fill>
    <fill>
      <patternFill patternType="solid">
        <fgColor rgb="FF156082"/>
        <bgColor rgb="FF156082"/>
      </patternFill>
    </fill>
    <fill>
      <patternFill patternType="solid">
        <fgColor rgb="FFF1ECF7"/>
        <bgColor rgb="FFF1ECF7"/>
      </patternFill>
    </fill>
    <fill>
      <patternFill patternType="solid">
        <fgColor rgb="FFFFE599"/>
        <bgColor rgb="FFFFE599"/>
      </patternFill>
    </fill>
    <fill>
      <patternFill patternType="solid">
        <fgColor rgb="FFC1E4F5"/>
        <bgColor rgb="FFC1E4F5"/>
      </patternFill>
    </fill>
    <fill>
      <patternFill patternType="solid">
        <fgColor rgb="FFFFF5D9"/>
        <bgColor rgb="FFFFF5D9"/>
      </patternFill>
    </fill>
    <fill>
      <patternFill patternType="solid">
        <fgColor rgb="FFEDF7EE"/>
        <bgColor rgb="FFEDF7EE"/>
      </patternFill>
    </fill>
    <fill>
      <patternFill patternType="solid">
        <fgColor rgb="FFFFFFFF"/>
        <bgColor rgb="FFFFFFFF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D8E0E7"/>
      </bottom>
    </border>
    <border>
      <left/>
      <right/>
      <top style="thin">
        <color rgb="FFD8E0E7"/>
      </top>
      <bottom style="thin">
        <color rgb="FFD8E0E7"/>
      </bottom>
    </border>
    <border>
      <top style="thin">
        <color rgb="FFD8E0E7"/>
      </top>
      <bottom style="thin">
        <color rgb="FFD8E0E7"/>
      </bottom>
    </border>
    <border>
      <left/>
      <right/>
      <top/>
      <bottom/>
    </border>
    <border>
      <left/>
      <top style="thin">
        <color rgb="FFD8E0E7"/>
      </top>
      <bottom style="thin">
        <color rgb="FFD8E0E7"/>
      </bottom>
    </border>
    <border>
      <right/>
      <top style="thin">
        <color rgb="FFD8E0E7"/>
      </top>
      <bottom style="thin">
        <color rgb="FFD8E0E7"/>
      </bottom>
    </border>
    <border>
      <left/>
      <right/>
      <top style="thin">
        <color rgb="FFD8E0E7"/>
      </top>
      <bottom/>
    </border>
    <border>
      <left/>
      <right/>
      <top style="thin">
        <color rgb="FFD8E0E7"/>
      </top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/>
    </xf>
    <xf borderId="5" fillId="4" fontId="5" numFmtId="0" xfId="0" applyAlignment="1" applyBorder="1" applyFill="1" applyFont="1">
      <alignment readingOrder="0"/>
    </xf>
    <xf borderId="5" fillId="4" fontId="5" numFmtId="3" xfId="0" applyAlignment="1" applyBorder="1" applyFill="1" applyFont="1" applyNumberFormat="1">
      <alignment readingOrder="0"/>
    </xf>
    <xf borderId="6" fillId="0" fontId="3" numFmtId="0" xfId="0" applyBorder="1" applyFont="1"/>
    <xf borderId="5" fillId="4" fontId="3" numFmtId="0" xfId="0" applyBorder="1" applyFill="1" applyFont="1"/>
    <xf borderId="5" fillId="4" fontId="5" numFmtId="2" xfId="0" applyAlignment="1" applyBorder="1" applyFill="1" applyFont="1" applyNumberFormat="1">
      <alignment readingOrder="0"/>
    </xf>
    <xf borderId="1" fillId="3" fontId="4" numFmtId="0" xfId="0" applyAlignment="1" applyBorder="1" applyFill="1" applyFont="1">
      <alignment horizontal="center" vertical="center"/>
    </xf>
    <xf borderId="5" fillId="4" fontId="3" numFmtId="2" xfId="0" applyBorder="1" applyFill="1" applyFont="1" applyNumberFormat="1"/>
    <xf borderId="1" fillId="5" fontId="4" numFmtId="0" xfId="0" applyAlignment="1" applyBorder="1" applyFill="1" applyFont="1">
      <alignment horizontal="center" vertical="center"/>
    </xf>
    <xf borderId="7" fillId="5" fontId="4" numFmtId="0" xfId="0" applyAlignment="1" applyBorder="1" applyFill="1" applyFont="1">
      <alignment horizontal="center" vertical="center"/>
    </xf>
    <xf borderId="8" fillId="6" fontId="4" numFmtId="0" xfId="0" applyBorder="1" applyFill="1" applyFont="1"/>
    <xf borderId="6" fillId="0" fontId="2" numFmtId="0" xfId="0" applyBorder="1" applyFont="1"/>
    <xf borderId="9" fillId="0" fontId="2" numFmtId="0" xfId="0" applyBorder="1" applyFont="1"/>
    <xf borderId="1" fillId="7" fontId="4" numFmtId="0" xfId="0" applyAlignment="1" applyBorder="1" applyFill="1" applyFont="1">
      <alignment horizontal="center" vertical="center"/>
    </xf>
    <xf borderId="5" fillId="3" fontId="4" numFmtId="0" xfId="0" applyAlignment="1" applyBorder="1" applyFill="1" applyFont="1">
      <alignment horizontal="center"/>
    </xf>
    <xf borderId="1" fillId="8" fontId="4" numFmtId="0" xfId="0" applyAlignment="1" applyBorder="1" applyFill="1" applyFont="1">
      <alignment horizontal="center" vertical="center"/>
    </xf>
    <xf borderId="5" fillId="9" fontId="3" numFmtId="0" xfId="0" applyBorder="1" applyFill="1" applyFont="1"/>
    <xf borderId="1" fillId="10" fontId="4" numFmtId="0" xfId="0" applyAlignment="1" applyBorder="1" applyFill="1" applyFont="1">
      <alignment horizontal="center" vertical="center"/>
    </xf>
    <xf borderId="5" fillId="9" fontId="5" numFmtId="164" xfId="0" applyAlignment="1" applyBorder="1" applyFill="1" applyFont="1" applyNumberFormat="1">
      <alignment readingOrder="0"/>
    </xf>
    <xf borderId="1" fillId="6" fontId="4" numFmtId="0" xfId="0" applyAlignment="1" applyBorder="1" applyFill="1" applyFont="1">
      <alignment horizontal="center" vertical="center"/>
    </xf>
    <xf borderId="5" fillId="9" fontId="3" numFmtId="164" xfId="0" applyBorder="1" applyFill="1" applyFont="1" applyNumberFormat="1"/>
    <xf borderId="4" fillId="2" fontId="6" numFmtId="0" xfId="0" applyAlignment="1" applyBorder="1" applyFill="1" applyFont="1">
      <alignment horizontal="center" shrinkToFit="0" vertical="center" wrapText="1"/>
    </xf>
    <xf borderId="4" fillId="11" fontId="7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ill="1" applyFont="1">
      <alignment horizontal="center" readingOrder="0" shrinkToFit="0" vertical="center" wrapText="1"/>
    </xf>
    <xf borderId="5" fillId="9" fontId="3" numFmtId="165" xfId="0" applyBorder="1" applyFill="1" applyFont="1" applyNumberFormat="1"/>
    <xf borderId="5" fillId="9" fontId="5" numFmtId="165" xfId="0" applyAlignment="1" applyBorder="1" applyFill="1" applyFont="1" applyNumberFormat="1">
      <alignment readingOrder="0"/>
    </xf>
    <xf borderId="5" fillId="9" fontId="3" numFmtId="166" xfId="0" applyBorder="1" applyFill="1" applyFont="1" applyNumberFormat="1"/>
    <xf borderId="6" fillId="0" fontId="9" numFmtId="0" xfId="0" applyAlignment="1" applyBorder="1" applyFont="1">
      <alignment vertical="bottom"/>
    </xf>
    <xf borderId="6" fillId="0" fontId="9" numFmtId="165" xfId="0" applyAlignment="1" applyBorder="1" applyFont="1" applyNumberFormat="1">
      <alignment horizontal="right" vertical="bottom"/>
    </xf>
    <xf borderId="5" fillId="12" fontId="3" numFmtId="0" xfId="0" applyBorder="1" applyFill="1" applyFont="1"/>
    <xf borderId="5" fillId="12" fontId="3" numFmtId="165" xfId="0" applyBorder="1" applyFill="1" applyFont="1" applyNumberFormat="1"/>
    <xf borderId="10" fillId="12" fontId="3" numFmtId="0" xfId="0" applyBorder="1" applyFill="1" applyFont="1"/>
    <xf borderId="10" fillId="12" fontId="3" numFmtId="165" xfId="0" applyBorder="1" applyFill="1" applyFont="1" applyNumberFormat="1"/>
    <xf borderId="0" fillId="0" fontId="10" numFmtId="0" xfId="0" applyAlignment="1" applyFont="1">
      <alignment vertical="bottom"/>
    </xf>
    <xf borderId="0" fillId="13" fontId="10" numFmtId="0" xfId="0" applyAlignment="1" applyFill="1" applyFont="1">
      <alignment readingOrder="0"/>
    </xf>
    <xf borderId="0" fillId="4" fontId="11" numFmtId="1" xfId="0" applyAlignment="1" applyFill="1" applyFont="1" applyNumberFormat="1">
      <alignment horizontal="right" readingOrder="0"/>
    </xf>
    <xf borderId="0" fillId="4" fontId="11" numFmtId="2" xfId="0" applyAlignment="1" applyFill="1" applyFont="1" applyNumberFormat="1">
      <alignment horizontal="right" readingOrder="0"/>
    </xf>
    <xf borderId="11" fillId="4" fontId="11" numFmtId="165" xfId="0" applyAlignment="1" applyBorder="1" applyFill="1" applyFont="1" applyNumberFormat="1">
      <alignment horizontal="right"/>
    </xf>
    <xf borderId="11" fillId="4" fontId="11" numFmtId="2" xfId="0" applyAlignment="1" applyBorder="1" applyFill="1" applyFont="1" applyNumberFormat="1">
      <alignment horizontal="right"/>
    </xf>
    <xf borderId="0" fillId="14" fontId="12" numFmtId="2" xfId="0" applyAlignment="1" applyFill="1" applyFont="1" applyNumberFormat="1">
      <alignment horizontal="right" vertical="bottom"/>
    </xf>
    <xf borderId="0" fillId="4" fontId="11" numFmtId="0" xfId="0" applyAlignment="1" applyFill="1" applyFont="1">
      <alignment horizontal="right" readingOrder="0"/>
    </xf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  <xf borderId="0" fillId="15" fontId="11" numFmtId="0" xfId="0" applyAlignment="1" applyFill="1" applyFont="1">
      <alignment horizontal="right" readingOrder="0"/>
    </xf>
    <xf borderId="11" fillId="16" fontId="11" numFmtId="2" xfId="0" applyAlignment="1" applyBorder="1" applyFill="1" applyFont="1" applyNumberFormat="1">
      <alignment horizontal="right"/>
    </xf>
    <xf borderId="0" fillId="0" fontId="10" numFmtId="2" xfId="0" applyAlignment="1" applyFont="1" applyNumberFormat="1">
      <alignment horizontal="right" readingOrder="0" vertical="bottom"/>
    </xf>
    <xf borderId="11" fillId="15" fontId="11" numFmtId="0" xfId="0" applyAlignment="1" applyBorder="1" applyFill="1" applyFont="1">
      <alignment horizontal="right"/>
    </xf>
    <xf borderId="11" fillId="15" fontId="11" numFmtId="2" xfId="0" applyAlignment="1" applyBorder="1" applyFill="1" applyFont="1" applyNumberFormat="1">
      <alignment horizontal="right" readingOrder="0"/>
    </xf>
    <xf borderId="11" fillId="15" fontId="11" numFmtId="3" xfId="0" applyAlignment="1" applyBorder="1" applyFill="1" applyFont="1" applyNumberFormat="1">
      <alignment horizontal="right"/>
    </xf>
    <xf borderId="11" fillId="16" fontId="11" numFmtId="3" xfId="0" applyAlignment="1" applyBorder="1" applyFill="1" applyFont="1" applyNumberFormat="1">
      <alignment horizontal="right"/>
    </xf>
    <xf borderId="11" fillId="16" fontId="13" numFmtId="2" xfId="0" applyAlignment="1" applyBorder="1" applyFill="1" applyFont="1" applyNumberFormat="1">
      <alignment horizontal="right"/>
    </xf>
    <xf borderId="11" fillId="16" fontId="14" numFmtId="2" xfId="0" applyAlignment="1" applyBorder="1" applyFill="1" applyFont="1" applyNumberFormat="1">
      <alignment horizontal="right" readingOrder="0"/>
    </xf>
    <xf borderId="11" fillId="9" fontId="11" numFmtId="0" xfId="0" applyAlignment="1" applyBorder="1" applyFill="1" applyFont="1">
      <alignment horizontal="right"/>
    </xf>
    <xf borderId="0" fillId="14" fontId="15" numFmtId="2" xfId="0" applyAlignment="1" applyFill="1" applyFont="1" applyNumberFormat="1">
      <alignment horizontal="right" vertical="bottom"/>
    </xf>
    <xf borderId="11" fillId="12" fontId="11" numFmtId="2" xfId="0" applyAlignment="1" applyBorder="1" applyFill="1" applyFont="1" applyNumberFormat="1">
      <alignment horizontal="right"/>
    </xf>
    <xf borderId="0" fillId="0" fontId="10" numFmtId="0" xfId="0" applyAlignment="1" applyFont="1">
      <alignment readingOrder="0"/>
    </xf>
    <xf borderId="0" fillId="4" fontId="11" numFmtId="165" xfId="0" applyAlignment="1" applyFill="1" applyFont="1" applyNumberFormat="1">
      <alignment horizontal="right"/>
    </xf>
    <xf borderId="0" fillId="4" fontId="11" numFmtId="2" xfId="0" applyAlignment="1" applyFill="1" applyFont="1" applyNumberFormat="1">
      <alignment horizontal="right"/>
    </xf>
    <xf borderId="0" fillId="17" fontId="12" numFmtId="2" xfId="0" applyAlignment="1" applyFill="1" applyFont="1" applyNumberFormat="1">
      <alignment horizontal="right" vertical="bottom"/>
    </xf>
    <xf borderId="0" fillId="16" fontId="11" numFmtId="2" xfId="0" applyAlignment="1" applyFill="1" applyFont="1" applyNumberFormat="1">
      <alignment horizontal="right"/>
    </xf>
    <xf borderId="0" fillId="15" fontId="11" numFmtId="0" xfId="0" applyAlignment="1" applyFill="1" applyFont="1">
      <alignment horizontal="right"/>
    </xf>
    <xf borderId="0" fillId="15" fontId="11" numFmtId="2" xfId="0" applyAlignment="1" applyFill="1" applyFont="1" applyNumberFormat="1">
      <alignment horizontal="right" readingOrder="0"/>
    </xf>
    <xf borderId="0" fillId="15" fontId="11" numFmtId="3" xfId="0" applyAlignment="1" applyFill="1" applyFont="1" applyNumberFormat="1">
      <alignment horizontal="right"/>
    </xf>
    <xf borderId="0" fillId="16" fontId="11" numFmtId="3" xfId="0" applyAlignment="1" applyFill="1" applyFont="1" applyNumberFormat="1">
      <alignment horizontal="right"/>
    </xf>
    <xf borderId="0" fillId="16" fontId="13" numFmtId="2" xfId="0" applyAlignment="1" applyFill="1" applyFont="1" applyNumberFormat="1">
      <alignment horizontal="right"/>
    </xf>
    <xf borderId="0" fillId="16" fontId="14" numFmtId="2" xfId="0" applyAlignment="1" applyFill="1" applyFont="1" applyNumberFormat="1">
      <alignment horizontal="right" readingOrder="0"/>
    </xf>
    <xf borderId="0" fillId="9" fontId="11" numFmtId="0" xfId="0" applyAlignment="1" applyFill="1" applyFont="1">
      <alignment horizontal="right"/>
    </xf>
    <xf borderId="0" fillId="17" fontId="15" numFmtId="2" xfId="0" applyAlignment="1" applyFill="1" applyFont="1" applyNumberFormat="1">
      <alignment horizontal="right" vertical="bottom"/>
    </xf>
    <xf borderId="0" fillId="12" fontId="11" numFmtId="2" xfId="0" applyAlignment="1" applyFill="1" applyFont="1" applyNumberFormat="1">
      <alignment horizontal="right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horizontal="right" readingOrder="0" vertical="bottom"/>
    </xf>
    <xf borderId="0" fillId="17" fontId="10" numFmtId="0" xfId="0" applyAlignment="1" applyFill="1" applyFont="1">
      <alignment vertical="bottom"/>
    </xf>
    <xf borderId="0" fillId="17" fontId="10" numFmtId="0" xfId="0" applyAlignment="1" applyFill="1" applyFont="1">
      <alignment readingOrder="0" vertical="bottom"/>
    </xf>
    <xf borderId="0" fillId="17" fontId="11" numFmtId="0" xfId="0" applyAlignment="1" applyFill="1" applyFont="1">
      <alignment horizontal="right" readingOrder="0"/>
    </xf>
    <xf borderId="0" fillId="17" fontId="10" numFmtId="0" xfId="0" applyAlignment="1" applyFill="1" applyFont="1">
      <alignment horizontal="right" readingOrder="0" vertical="bottom"/>
    </xf>
    <xf borderId="0" fillId="17" fontId="11" numFmtId="0" xfId="0" applyAlignment="1" applyFill="1" applyFont="1">
      <alignment horizontal="right"/>
    </xf>
    <xf borderId="0" fillId="17" fontId="12" numFmtId="0" xfId="0" applyAlignment="1" applyFill="1" applyFont="1">
      <alignment horizontal="right" vertical="bottom"/>
    </xf>
    <xf borderId="0" fillId="17" fontId="11" numFmtId="0" xfId="0" applyAlignment="1" applyFill="1" applyFont="1">
      <alignment horizontal="right" readingOrder="0"/>
    </xf>
    <xf borderId="0" fillId="17" fontId="10" numFmtId="0" xfId="0" applyAlignment="1" applyFill="1" applyFont="1">
      <alignment vertical="bottom"/>
    </xf>
    <xf borderId="0" fillId="17" fontId="10" numFmtId="0" xfId="0" applyAlignment="1" applyFill="1" applyFont="1">
      <alignment readingOrder="0" vertical="bottom"/>
    </xf>
    <xf borderId="0" fillId="17" fontId="11" numFmtId="0" xfId="0" applyAlignment="1" applyFill="1" applyFont="1">
      <alignment horizontal="right" readingOrder="0"/>
    </xf>
    <xf borderId="0" fillId="17" fontId="10" numFmtId="0" xfId="0" applyAlignment="1" applyFill="1" applyFont="1">
      <alignment horizontal="right" readingOrder="0" vertical="bottom"/>
    </xf>
    <xf borderId="0" fillId="17" fontId="11" numFmtId="0" xfId="0" applyAlignment="1" applyFill="1" applyFont="1">
      <alignment horizontal="right"/>
    </xf>
    <xf borderId="0" fillId="17" fontId="11" numFmtId="0" xfId="0" applyAlignment="1" applyFill="1" applyFont="1">
      <alignment horizontal="right" readingOrder="0"/>
    </xf>
    <xf borderId="0" fillId="17" fontId="12" numFmtId="0" xfId="0" applyAlignment="1" applyFill="1" applyFont="1">
      <alignment horizontal="right" vertical="bottom"/>
    </xf>
    <xf borderId="0" fillId="17" fontId="10" numFmtId="0" xfId="0" applyFill="1" applyFont="1"/>
    <xf borderId="0" fillId="0" fontId="10" numFmtId="0" xfId="0" applyFont="1"/>
    <xf borderId="0" fillId="0" fontId="16" numFmtId="0" xfId="0" applyAlignment="1" applyFont="1">
      <alignment readingOrder="0"/>
    </xf>
    <xf borderId="0" fillId="0" fontId="10" numFmtId="1" xfId="0" applyAlignment="1" applyFont="1" applyNumberFormat="1">
      <alignment horizontal="right" readingOrder="0" vertical="bottom"/>
    </xf>
    <xf borderId="5" fillId="4" fontId="11" numFmtId="1" xfId="0" applyAlignment="1" applyBorder="1" applyFill="1" applyFont="1" applyNumberFormat="1">
      <alignment horizontal="right" readingOrder="0"/>
    </xf>
    <xf borderId="5" fillId="4" fontId="11" numFmtId="2" xfId="0" applyAlignment="1" applyBorder="1" applyFill="1" applyFont="1" applyNumberFormat="1">
      <alignment horizontal="right" readingOrder="0"/>
    </xf>
    <xf borderId="5" fillId="4" fontId="11" numFmtId="165" xfId="0" applyAlignment="1" applyBorder="1" applyFill="1" applyFont="1" applyNumberFormat="1">
      <alignment horizontal="right"/>
    </xf>
    <xf borderId="5" fillId="4" fontId="11" numFmtId="2" xfId="0" applyAlignment="1" applyBorder="1" applyFill="1" applyFont="1" applyNumberFormat="1">
      <alignment horizontal="right"/>
    </xf>
    <xf borderId="5" fillId="4" fontId="11" numFmtId="0" xfId="0" applyAlignment="1" applyBorder="1" applyFill="1" applyFont="1">
      <alignment horizontal="right" readingOrder="0"/>
    </xf>
    <xf borderId="0" fillId="14" fontId="10" numFmtId="0" xfId="0" applyAlignment="1" applyFill="1" applyFont="1">
      <alignment horizontal="right" vertical="bottom"/>
    </xf>
    <xf borderId="0" fillId="14" fontId="10" numFmtId="1" xfId="0" applyAlignment="1" applyFill="1" applyFont="1" applyNumberFormat="1">
      <alignment horizontal="right" vertical="bottom"/>
    </xf>
    <xf borderId="0" fillId="14" fontId="10" numFmtId="2" xfId="0" applyAlignment="1" applyFill="1" applyFont="1" applyNumberFormat="1">
      <alignment horizontal="right" vertical="bottom"/>
    </xf>
    <xf borderId="0" fillId="0" fontId="17" numFmtId="0" xfId="0" applyAlignment="1" applyFont="1">
      <alignment horizontal="right" vertical="bottom"/>
    </xf>
    <xf borderId="5" fillId="15" fontId="11" numFmtId="0" xfId="0" applyAlignment="1" applyBorder="1" applyFill="1" applyFont="1">
      <alignment horizontal="right" readingOrder="0"/>
    </xf>
    <xf borderId="5" fillId="16" fontId="11" numFmtId="2" xfId="0" applyAlignment="1" applyBorder="1" applyFill="1" applyFont="1" applyNumberFormat="1">
      <alignment horizontal="right"/>
    </xf>
    <xf borderId="0" fillId="0" fontId="17" numFmtId="2" xfId="0" applyAlignment="1" applyFont="1" applyNumberFormat="1">
      <alignment horizontal="right" readingOrder="0" vertical="bottom"/>
    </xf>
    <xf borderId="5" fillId="15" fontId="11" numFmtId="0" xfId="0" applyAlignment="1" applyBorder="1" applyFill="1" applyFont="1">
      <alignment horizontal="right"/>
    </xf>
    <xf borderId="5" fillId="15" fontId="11" numFmtId="2" xfId="0" applyAlignment="1" applyBorder="1" applyFill="1" applyFont="1" applyNumberFormat="1">
      <alignment horizontal="right" readingOrder="0"/>
    </xf>
    <xf borderId="5" fillId="15" fontId="11" numFmtId="3" xfId="0" applyAlignment="1" applyBorder="1" applyFill="1" applyFont="1" applyNumberFormat="1">
      <alignment horizontal="right"/>
    </xf>
    <xf borderId="5" fillId="16" fontId="11" numFmtId="3" xfId="0" applyAlignment="1" applyBorder="1" applyFill="1" applyFont="1" applyNumberFormat="1">
      <alignment horizontal="right"/>
    </xf>
    <xf borderId="5" fillId="9" fontId="11" numFmtId="0" xfId="0" applyAlignment="1" applyBorder="1" applyFill="1" applyFont="1">
      <alignment horizontal="right"/>
    </xf>
    <xf borderId="5" fillId="12" fontId="11" numFmtId="2" xfId="0" applyAlignment="1" applyBorder="1" applyFill="1" applyFont="1" applyNumberFormat="1">
      <alignment horizontal="right"/>
    </xf>
    <xf borderId="0" fillId="17" fontId="10" numFmtId="0" xfId="0" applyAlignment="1" applyFill="1" applyFont="1">
      <alignment horizontal="right" vertical="bottom"/>
    </xf>
    <xf borderId="0" fillId="17" fontId="10" numFmtId="1" xfId="0" applyAlignment="1" applyFill="1" applyFont="1" applyNumberFormat="1">
      <alignment horizontal="right" vertical="bottom"/>
    </xf>
    <xf borderId="0" fillId="17" fontId="10" numFmtId="2" xfId="0" applyAlignment="1" applyFill="1" applyFont="1" applyNumberFormat="1">
      <alignment horizontal="right" vertical="bottom"/>
    </xf>
    <xf borderId="10" fillId="9" fontId="11" numFmtId="0" xfId="0" applyAlignment="1" applyBorder="1" applyFill="1" applyFont="1">
      <alignment horizontal="right"/>
    </xf>
    <xf borderId="10" fillId="12" fontId="11" numFmtId="2" xfId="0" applyAlignment="1" applyBorder="1" applyFill="1" applyFont="1" applyNumberFormat="1">
      <alignment horizontal="right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readingOrder="0" vertical="bottom"/>
    </xf>
    <xf borderId="0" fillId="4" fontId="11" numFmtId="0" xfId="0" applyAlignment="1" applyFill="1" applyFont="1">
      <alignment horizontal="right" readingOrder="0"/>
    </xf>
    <xf borderId="0" fillId="4" fontId="11" numFmtId="0" xfId="0" applyAlignment="1" applyFill="1" applyFont="1">
      <alignment horizontal="right"/>
    </xf>
    <xf borderId="0" fillId="14" fontId="10" numFmtId="0" xfId="0" applyAlignment="1" applyFill="1" applyFont="1">
      <alignment horizontal="right" vertical="bottom"/>
    </xf>
    <xf borderId="0" fillId="0" fontId="17" numFmtId="0" xfId="0" applyAlignment="1" applyFont="1">
      <alignment horizontal="right" vertical="bottom"/>
    </xf>
    <xf borderId="0" fillId="15" fontId="11" numFmtId="0" xfId="0" applyAlignment="1" applyFill="1" applyFont="1">
      <alignment horizontal="right" readingOrder="0"/>
    </xf>
    <xf borderId="0" fillId="16" fontId="11" numFmtId="0" xfId="0" applyAlignment="1" applyFill="1" applyFont="1">
      <alignment horizontal="right"/>
    </xf>
    <xf borderId="0" fillId="0" fontId="17" numFmtId="0" xfId="0" applyAlignment="1" applyFont="1">
      <alignment horizontal="right" readingOrder="0" vertical="bottom"/>
    </xf>
    <xf borderId="0" fillId="15" fontId="11" numFmtId="0" xfId="0" applyAlignment="1" applyFill="1" applyFont="1">
      <alignment horizontal="right"/>
    </xf>
    <xf borderId="0" fillId="9" fontId="11" numFmtId="0" xfId="0" applyAlignment="1" applyFill="1" applyFont="1">
      <alignment horizontal="right"/>
    </xf>
    <xf borderId="0" fillId="12" fontId="11" numFmtId="0" xfId="0" applyAlignment="1" applyFill="1" applyFon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5.8x42mm-ammo-style">
      <tableStyleElement dxfId="1" type="headerRow"/>
      <tableStyleElement dxfId="2" type="firstRowStripe"/>
      <tableStyleElement dxfId="3" type="secondRowStripe"/>
    </tableStyle>
    <tableStyle count="2" pivot="0" name="5.8x42mm-ammo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ussell Acadelis" id="{0276eff1-544d-42ca-8ab4-848556dc6832}" providerId="google-sheets"/>
</x18tc:personList>
</file>

<file path=xl/tables/table1.xml><?xml version="1.0" encoding="utf-8"?>
<table xmlns="http://schemas.openxmlformats.org/spreadsheetml/2006/main" ref="A2:AR14" displayName="Table_1" name="Table_1" id="1">
  <tableColumns count="44">
    <tableColumn name="name" id="1"/>
    <tableColumn name="pretty_name" id="2"/>
    <tableColumn name="ergonomics" id="3"/>
    <tableColumn name="weight" id="4"/>
    <tableColumn name="horizontal_recoil" id="5"/>
    <tableColumn name="vertical_recoil" id="6"/>
    <tableColumn name="barrel_deviation" id="7"/>
    <tableColumn name="bullet_damage" id="8"/>
    <tableColumn name="bullet_velocity" id="9"/>
    <tableColumn name="fire_rate" id="10"/>
    <tableColumn name="muzzle_loudness" id="11"/>
    <tableColumn name="price" id="12"/>
    <tableColumn name="damage_torso_a" id="13"/>
    <tableColumn name="damage_torso_b" id="14"/>
    <tableColumn name="damage_torso_c" id="15"/>
    <tableColumn name="damage_torso_d" id="16"/>
    <tableColumn name="damage_arm_d" id="17"/>
    <tableColumn name="damage_leg_d" id="18"/>
    <tableColumn name="damage_head_d" id="19"/>
    <tableColumn name="damage_25" id="20"/>
    <tableColumn name="damage_75" id="21"/>
    <tableColumn name="damage_150" id="22"/>
    <tableColumn name="damage_250" id="23"/>
    <tableColumn name="damage_375" id="24"/>
    <tableColumn name="damage_400" id="25"/>
    <tableColumn name="damage_500" id="26"/>
    <tableColumn name="weighted_damage" id="27"/>
    <tableColumn name="velocity_drop" id="28"/>
    <tableColumn name="suppression" id="29"/>
    <tableColumn name="bullet_penetration_ability" id="30"/>
    <tableColumn name="pen_low" id="31"/>
    <tableColumn name="pen_high" id="32"/>
    <tableColumn name="pen_velocity_low" id="33"/>
    <tableColumn name="pen_velocity_high" id="34"/>
    <tableColumn name="effective_velocity" id="35"/>
    <tableColumn name="penetration" id="36"/>
    <tableColumn name="calibers_row" id="37"/>
    <tableColumn name="source_file" id="38"/>
    <tableColumn name="balance_score" id="39"/>
    <tableColumn name="damage_score" id="40"/>
    <tableColumn name="velocity_drop_score" id="41"/>
    <tableColumn name="suppression_score" id="42"/>
    <tableColumn name="penetration_score" id="43"/>
    <tableColumn name="strength" id="44"/>
  </tableColumns>
  <tableStyleInfo name="5.8x42mm-am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0:AR33" displayName="Table_2" name="Table_2" id="2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5.8x42mm-amm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0" dT="2026-09-03T02:27:58.00" personId="{0276eff1-544d-42ca-8ab4-848556dc6832}" id="{22d7e9e8-6704-4a3a-9e53-a2831f16497e}" done="1">
    <x18tc:text xml:space="preserve">based on dbp88 values and increased weight - factcheck if possible</x18tc:text>
  </x18tc:threadedComment>
  <x18tc:threadedComment ref="I7" dT="2026-09-03T01:59:54.00" personId="{0276eff1-544d-42ca-8ab4-848556dc6832}" id="{ec13f47d-e173-43f8-93fd-8797b3c695ee}" done="1">
    <x18tc:text xml:space="preserve">estimating ~900m/s from the same logic as used for dvc12; based on the forum post @ https://forums.delphiforums.com/autogun/messages/7942/1</x18tc:text>
    <x18tc:extLst>
      <ext uri="{F7C98A9C-CBB3-438F-8F68-D28B6AF4A901}">
        <xltc2:checksum/>
        <xltc2:hyperlink startIndex="84" length="55" url="https://forums.delphiforums.com/autogun/messages/7942/1"/>
      </ext>
    </x18tc:extLst>
  </x18tc:threadedComment>
  <x18tc:threadedComment ref="I8" dT="2026-09-03T01:50:38.00" personId="{0276eff1-544d-42ca-8ab4-848556dc6832}" id="{7e5b71a3-5b2a-4b3c-a05e-b93645be7afc}" done="1">
    <x18tc:text xml:space="preserve">dbp88 has a muzzle velocity of 870 m/s; (870/930) * 2500 = ~2350 st/s</x18tc:text>
  </x18tc:threadedComment>
  <x18tc:threadedComment ref="I9" dT="2026-09-03T02:23:39.00" personId="{0276eff1-544d-42ca-8ab4-848556dc6832}" id="{56316c8d-f563-476e-8c92-d02e2932bd21}" done="1">
    <x18tc:text xml:space="preserve">tentative; considering that it has about the same mass as dvc12</x18tc:text>
  </x18tc:threadedComment>
  <x18tc:threadedComment ref="I11" dT="2026-09-03T01:55:57.00" personId="{0276eff1-544d-42ca-8ab4-848556dc6832}" id="{96ad1cb5-6c99-4e01-bc8d-8df4b5a3a8ec}" done="1">
    <x18tc:text xml:space="preserve">dvc12 has a muzzle velocity of 880m/s from the 14.5in qbz-191 barrel and 890 from a 22in SAW barrel; since 18.2 inches is about at the average of those two values i'll estimate about 885m/s from qbz95 barrel unless this is blatantly unnaceptable
(885/930) * 2500 = ~2375 st/s</x18tc:text>
  </x18tc:threadedComment>
  <x18tc:threadedComment ref="I5" dT="2026-09-03T01:49:29.00" personId="{0276eff1-544d-42ca-8ab4-848556dc6832}" id="{07d973c3-3240-4b6d-b4d2-dd51b7756402}" done="1">
    <x18tc:text xml:space="preserve">dbp10 has a muzzle velocity of 915 m/s; (915/930) * 2500 = ~2450 st/s</x18tc:text>
  </x18tc:threadedComment>
  <x18tc:threadedComment ref="I12" dT="2026-09-03T02:28:54.00" personId="{0276eff1-544d-42ca-8ab4-848556dc6832}" id="{18e589cf-c611-40e9-b8b6-0a6093a51a54}" done="1">
    <x18tc:text xml:space="preserve">based on how DEA works and its velo numbers while also factoring in that it's heavier than dbp95 and not the same weight - factchecking is impossible but someone do a sanity check or something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" dT="2026-09-03T01:53:13.00" personId="{0276eff1-544d-42ca-8ab4-848556dc6832}" id="{10086d62-48e5-43ef-9d2d-9cb3d4f487c0}" done="0">
    <x18tc:text xml:space="preserve">current dbp95 velocity ingame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9" Type="http://schemas.openxmlformats.org/officeDocument/2006/relationships/table" Target="../tables/table2.xml"/><Relationship Id="rId5" Type="http://schemas.openxmlformats.org/officeDocument/2006/relationships/vmlDrawing" Target="../drawings/vmlDrawing1.v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2" width="34.25"/>
    <col customWidth="1" min="3" max="8" width="5.63"/>
    <col customWidth="1" min="9" max="9" width="8.0"/>
    <col customWidth="1" min="10" max="29" width="5.63"/>
    <col customWidth="1" min="30" max="30" width="24.88"/>
    <col customWidth="1" min="31" max="37" width="5.63"/>
    <col customWidth="1" min="38" max="38" width="9.63"/>
    <col customWidth="1" min="39" max="44" width="5.63"/>
  </cols>
  <sheetData>
    <row r="1" ht="24.0" customHeight="1">
      <c r="A1" s="11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13" t="s">
        <v>10</v>
      </c>
      <c r="N1" s="2"/>
      <c r="O1" s="2"/>
      <c r="P1" s="3"/>
      <c r="Q1" s="14"/>
      <c r="R1" s="14"/>
      <c r="S1" s="14"/>
      <c r="T1" s="18" t="s">
        <v>16</v>
      </c>
      <c r="U1" s="2"/>
      <c r="V1" s="2"/>
      <c r="W1" s="2"/>
      <c r="X1" s="2"/>
      <c r="Y1" s="2"/>
      <c r="Z1" s="2"/>
      <c r="AA1" s="3"/>
      <c r="AB1" s="13" t="s">
        <v>18</v>
      </c>
      <c r="AC1" s="2"/>
      <c r="AD1" s="2"/>
      <c r="AE1" s="2"/>
      <c r="AF1" s="2"/>
      <c r="AG1" s="2"/>
      <c r="AH1" s="3"/>
      <c r="AI1" s="20" t="s">
        <v>19</v>
      </c>
      <c r="AJ1" s="3"/>
      <c r="AK1" s="22" t="s">
        <v>22</v>
      </c>
      <c r="AL1" s="3"/>
      <c r="AM1" s="24" t="s">
        <v>23</v>
      </c>
      <c r="AN1" s="2"/>
      <c r="AO1" s="2"/>
      <c r="AP1" s="2"/>
      <c r="AQ1" s="2"/>
      <c r="AR1" s="3"/>
    </row>
    <row r="2" ht="45.75" customHeight="1">
      <c r="A2" s="26" t="s">
        <v>28</v>
      </c>
      <c r="B2" s="26" t="s">
        <v>32</v>
      </c>
      <c r="C2" s="26" t="s">
        <v>33</v>
      </c>
      <c r="D2" s="26" t="s">
        <v>34</v>
      </c>
      <c r="E2" s="26" t="s">
        <v>35</v>
      </c>
      <c r="F2" s="26" t="s">
        <v>36</v>
      </c>
      <c r="G2" s="26" t="s">
        <v>37</v>
      </c>
      <c r="H2" s="26" t="s">
        <v>38</v>
      </c>
      <c r="I2" s="26" t="s">
        <v>39</v>
      </c>
      <c r="J2" s="26" t="s">
        <v>40</v>
      </c>
      <c r="K2" s="27" t="s">
        <v>41</v>
      </c>
      <c r="L2" s="26" t="s">
        <v>42</v>
      </c>
      <c r="M2" s="28" t="s">
        <v>44</v>
      </c>
      <c r="N2" s="26" t="s">
        <v>47</v>
      </c>
      <c r="O2" s="26" t="s">
        <v>48</v>
      </c>
      <c r="P2" s="26" t="s">
        <v>49</v>
      </c>
      <c r="Q2" s="26" t="s">
        <v>50</v>
      </c>
      <c r="R2" s="26" t="s">
        <v>51</v>
      </c>
      <c r="S2" s="26" t="s">
        <v>52</v>
      </c>
      <c r="T2" s="26" t="s">
        <v>56</v>
      </c>
      <c r="U2" s="26" t="s">
        <v>57</v>
      </c>
      <c r="V2" s="26" t="s">
        <v>58</v>
      </c>
      <c r="W2" s="26" t="s">
        <v>59</v>
      </c>
      <c r="X2" s="26" t="s">
        <v>60</v>
      </c>
      <c r="Y2" s="26" t="s">
        <v>61</v>
      </c>
      <c r="Z2" s="26" t="s">
        <v>63</v>
      </c>
      <c r="AA2" s="26" t="s">
        <v>65</v>
      </c>
      <c r="AB2" s="26" t="s">
        <v>66</v>
      </c>
      <c r="AC2" s="26" t="s">
        <v>67</v>
      </c>
      <c r="AD2" s="26" t="s">
        <v>68</v>
      </c>
      <c r="AE2" s="26" t="s">
        <v>69</v>
      </c>
      <c r="AF2" s="26" t="s">
        <v>70</v>
      </c>
      <c r="AG2" s="26" t="s">
        <v>71</v>
      </c>
      <c r="AH2" s="26" t="s">
        <v>72</v>
      </c>
      <c r="AI2" s="26" t="s">
        <v>73</v>
      </c>
      <c r="AJ2" s="26" t="s">
        <v>77</v>
      </c>
      <c r="AK2" s="26" t="s">
        <v>78</v>
      </c>
      <c r="AL2" s="26" t="s">
        <v>79</v>
      </c>
      <c r="AM2" s="26" t="s">
        <v>80</v>
      </c>
      <c r="AN2" s="26" t="s">
        <v>81</v>
      </c>
      <c r="AO2" s="26" t="s">
        <v>82</v>
      </c>
      <c r="AP2" s="26" t="s">
        <v>83</v>
      </c>
      <c r="AQ2" s="26" t="s">
        <v>84</v>
      </c>
      <c r="AR2" s="26" t="s">
        <v>85</v>
      </c>
    </row>
    <row r="3" ht="14.25" customHeight="1">
      <c r="A3" s="38" t="s">
        <v>86</v>
      </c>
      <c r="B3" s="39" t="s">
        <v>87</v>
      </c>
      <c r="C3" s="40">
        <v>0.0</v>
      </c>
      <c r="D3" s="41">
        <v>0.0</v>
      </c>
      <c r="E3" s="40">
        <v>0.0</v>
      </c>
      <c r="F3" s="40">
        <v>0.0</v>
      </c>
      <c r="G3" s="41">
        <v>0.0</v>
      </c>
      <c r="H3" s="42"/>
      <c r="I3" s="40">
        <v>0.0</v>
      </c>
      <c r="J3" s="43"/>
      <c r="K3" s="44">
        <v>0.0</v>
      </c>
      <c r="L3" s="45">
        <v>0.0</v>
      </c>
      <c r="M3" s="46">
        <v>-0.038</v>
      </c>
      <c r="N3" s="46">
        <v>76.0</v>
      </c>
      <c r="O3" s="46">
        <v>73.0</v>
      </c>
      <c r="P3" s="46">
        <v>1.0</v>
      </c>
      <c r="Q3" s="46">
        <v>0.3</v>
      </c>
      <c r="R3" s="47">
        <v>0.5</v>
      </c>
      <c r="S3" s="48">
        <v>2.5</v>
      </c>
      <c r="T3" s="49">
        <f>MAX(MIN($M3*Model!$A$13+$N3,$O3)*$P3,0)</f>
        <v>73</v>
      </c>
      <c r="U3" s="49">
        <f>MAX(MIN($M3*Model!$A$14+$N3,$O3)*$P3,0)</f>
        <v>73</v>
      </c>
      <c r="V3" s="49">
        <f>MAX(MIN($M3*Model!$A$15+$N3,$O3)*$P3,0)</f>
        <v>70.3</v>
      </c>
      <c r="W3" s="49">
        <f>MAX(MIN($M3*Model!$A$16+$N3,$O3)*$P3,0)</f>
        <v>66.5</v>
      </c>
      <c r="X3" s="49">
        <f>MAX(MIN($M3*Model!$A$17+$N3,$O3)*$P3,0)</f>
        <v>61.75</v>
      </c>
      <c r="Y3" s="49">
        <f>MAX(MIN($M3*Model!$A$18+$N3,$O3)*$P3,0)</f>
        <v>60.8</v>
      </c>
      <c r="Z3" s="49">
        <f>MAX(MIN($M3*Model!$A$19+$N3,$O3)*$P3,0)</f>
        <v>57</v>
      </c>
      <c r="AA3" s="49">
        <f>T3*Model!$B$13+U3*Model!$B$14+V3*Model!$B$15+W3*Model!$B$16+X3*Model!$B$17+Y3*Model!$B$18+Z3*Model!$B$19</f>
        <v>69.575</v>
      </c>
      <c r="AB3" s="50">
        <v>0.35</v>
      </c>
      <c r="AC3" s="50">
        <v>0.6</v>
      </c>
      <c r="AD3" s="51" t="str">
        <f>CONCATENATE("stat(bullet_velocity;",'5.8x42mm-ammo'!$AE3,";",'5.8x42mm-ammo'!$AF3,";",'5.8x42mm-ammo'!$AG3,";",'5.8x42mm-ammo'!$AH3,")")</f>
        <v>stat(bullet_velocity;0.25;0.65;1500;3000)</v>
      </c>
      <c r="AE3" s="52">
        <v>0.25</v>
      </c>
      <c r="AF3" s="52">
        <v>0.65</v>
      </c>
      <c r="AG3" s="53">
        <v>1500.0</v>
      </c>
      <c r="AH3" s="53">
        <v>3000.0</v>
      </c>
      <c r="AI3" s="54">
        <f>Model!$B$4+IF(I3="",0,I3)</f>
        <v>2500</v>
      </c>
      <c r="AJ3" s="55">
        <f t="shared" ref="AJ3:AJ12" si="1">MAX(AE3,MIN(AF3,AE3+(AI3-AG3)*(AF3-AE3)/(AH3-AG3)))</f>
        <v>0.5166666667</v>
      </c>
      <c r="AK3" s="56" t="s">
        <v>88</v>
      </c>
      <c r="AL3" s="57" t="s">
        <v>89</v>
      </c>
      <c r="AM3" s="58">
        <f>C3*Model!$B$24+D6*Model!$B$25+E3*Model!$B$26+F3*Model!$B$27+G3*Model!$B$28+H3*Model!$B$29+I3*Model!$B$30+J3*Model!$B$31+L3*Model!$B$32+K3*Model!$B$33</f>
        <v>-1</v>
      </c>
      <c r="AN3" s="58">
        <f>(AA3-Model!$B$5)*Model!$B$35</f>
        <v>-11.1375</v>
      </c>
      <c r="AO3" s="59">
        <f>(Model!$B$6-AB3)*Model!$B$36</f>
        <v>0</v>
      </c>
      <c r="AP3" s="59">
        <f>(AC3-Model!$B$7)*Model!$B$37</f>
        <v>0.3</v>
      </c>
      <c r="AQ3" s="59">
        <f>(AJ3-Model!$B$8)*Model!$B$38</f>
        <v>-0.1333333333</v>
      </c>
      <c r="AR3" s="59">
        <f t="shared" ref="AR3:AR12" si="2">SUM(AM3:AQ3)</f>
        <v>-11.97083333</v>
      </c>
    </row>
    <row r="4" ht="14.25" customHeight="1">
      <c r="A4" s="38" t="s">
        <v>90</v>
      </c>
      <c r="B4" s="60" t="s">
        <v>91</v>
      </c>
      <c r="C4" s="40">
        <v>3.0</v>
      </c>
      <c r="D4" s="41">
        <v>0.0</v>
      </c>
      <c r="E4" s="40">
        <v>-2.0</v>
      </c>
      <c r="F4" s="40">
        <v>-3.0</v>
      </c>
      <c r="G4" s="41">
        <v>0.1</v>
      </c>
      <c r="H4" s="61"/>
      <c r="I4" s="40">
        <v>0.0</v>
      </c>
      <c r="J4" s="62"/>
      <c r="K4" s="63">
        <v>0.0</v>
      </c>
      <c r="L4" s="45">
        <v>500.0</v>
      </c>
      <c r="M4" s="46">
        <v>-0.042</v>
      </c>
      <c r="N4" s="46">
        <v>76.0</v>
      </c>
      <c r="O4" s="46">
        <v>73.5</v>
      </c>
      <c r="P4" s="46">
        <v>1.0</v>
      </c>
      <c r="Q4" s="46">
        <v>0.3</v>
      </c>
      <c r="R4" s="47">
        <v>0.5</v>
      </c>
      <c r="S4" s="48">
        <v>2.5</v>
      </c>
      <c r="T4" s="64">
        <f>MAX(MIN($M4*Model!$A$13+$N4,$O4)*$P4,0)</f>
        <v>73.5</v>
      </c>
      <c r="U4" s="64">
        <f>MAX(MIN($M4*Model!$A$14+$N4,$O4)*$P4,0)</f>
        <v>72.85</v>
      </c>
      <c r="V4" s="64">
        <f>MAX(MIN($M4*Model!$A$15+$N4,$O4)*$P4,0)</f>
        <v>69.7</v>
      </c>
      <c r="W4" s="64">
        <f>MAX(MIN($M4*Model!$A$16+$N4,$O4)*$P4,0)</f>
        <v>65.5</v>
      </c>
      <c r="X4" s="64">
        <f>MAX(MIN($M4*Model!$A$17+$N4,$O4)*$P4,0)</f>
        <v>60.25</v>
      </c>
      <c r="Y4" s="64">
        <f>MAX(MIN($M4*Model!$A$18+$N4,$O4)*$P4,0)</f>
        <v>59.2</v>
      </c>
      <c r="Z4" s="64">
        <f>MAX(MIN($M4*Model!$A$19+$N4,$O4)*$P4,0)</f>
        <v>55</v>
      </c>
      <c r="AA4" s="64">
        <f>T4*Model!$B$13+U4*Model!$B$14+V4*Model!$B$15+W4*Model!$B$16+X4*Model!$B$17+Y4*Model!$B$18+Z4*Model!$B$19</f>
        <v>69.0625</v>
      </c>
      <c r="AB4" s="50">
        <v>0.4</v>
      </c>
      <c r="AC4" s="50">
        <v>1.0</v>
      </c>
      <c r="AD4" s="65" t="str">
        <f>CONCATENATE("stat(bullet_velocity;",'5.8x42mm-ammo'!$AE4,";",'5.8x42mm-ammo'!$AF4,";",'5.8x42mm-ammo'!$AG4,";",'5.8x42mm-ammo'!$AH4,")")</f>
        <v>stat(bullet_velocity;0.2;0.6;1500;3000)</v>
      </c>
      <c r="AE4" s="66">
        <v>0.2</v>
      </c>
      <c r="AF4" s="66">
        <v>0.6</v>
      </c>
      <c r="AG4" s="67">
        <v>1500.0</v>
      </c>
      <c r="AH4" s="67">
        <v>3000.0</v>
      </c>
      <c r="AI4" s="68">
        <f>Model!$B$4+IF(I4="",0,I4)</f>
        <v>2500</v>
      </c>
      <c r="AJ4" s="69">
        <f t="shared" si="1"/>
        <v>0.4666666667</v>
      </c>
      <c r="AK4" s="70" t="s">
        <v>88</v>
      </c>
      <c r="AL4" s="71" t="s">
        <v>89</v>
      </c>
      <c r="AM4" s="58">
        <f>C4*Model!$B$24+D7*Model!$B$25+E4*Model!$B$26+F4*Model!$B$27+G4*Model!$B$28+H4*Model!$B$29+I4*Model!$B$30+J4*Model!$B$31+L4*Model!$B$32+K4*Model!$B$33</f>
        <v>3</v>
      </c>
      <c r="AN4" s="72">
        <f>(AA4-Model!$B$5)*Model!$B$35</f>
        <v>-11.90625</v>
      </c>
      <c r="AO4" s="73">
        <f>(Model!$B$6-AB4)*Model!$B$36</f>
        <v>-0.1</v>
      </c>
      <c r="AP4" s="73">
        <f>(AC4-Model!$B$7)*Model!$B$37</f>
        <v>1.5</v>
      </c>
      <c r="AQ4" s="73">
        <f>(AJ4-Model!$B$8)*Model!$B$38</f>
        <v>-0.3333333333</v>
      </c>
      <c r="AR4" s="73">
        <f t="shared" si="2"/>
        <v>-7.839583333</v>
      </c>
    </row>
    <row r="5" ht="14.25" customHeight="1">
      <c r="A5" s="38" t="s">
        <v>92</v>
      </c>
      <c r="B5" s="60" t="s">
        <v>93</v>
      </c>
      <c r="C5" s="40">
        <v>-1.0</v>
      </c>
      <c r="D5" s="41">
        <v>0.05</v>
      </c>
      <c r="E5" s="40">
        <v>0.0</v>
      </c>
      <c r="F5" s="40">
        <v>1.0</v>
      </c>
      <c r="G5" s="41">
        <v>-0.05</v>
      </c>
      <c r="H5" s="61"/>
      <c r="I5" s="40">
        <v>-50.0</v>
      </c>
      <c r="J5" s="62"/>
      <c r="K5" s="63">
        <v>0.0</v>
      </c>
      <c r="L5" s="45">
        <v>1500.0</v>
      </c>
      <c r="M5" s="46">
        <v>-0.042</v>
      </c>
      <c r="N5" s="46">
        <v>79.0</v>
      </c>
      <c r="O5" s="46">
        <v>77.0</v>
      </c>
      <c r="P5" s="46">
        <v>1.0</v>
      </c>
      <c r="Q5" s="46">
        <v>0.3</v>
      </c>
      <c r="R5" s="47">
        <v>0.5</v>
      </c>
      <c r="S5" s="48">
        <v>2.5</v>
      </c>
      <c r="T5" s="64">
        <f>MAX(MIN($M5*Model!$A$13+$N5,$O5)*$P5,0)</f>
        <v>77</v>
      </c>
      <c r="U5" s="64">
        <f>MAX(MIN($M5*Model!$A$14+$N5,$O5)*$P5,0)</f>
        <v>75.85</v>
      </c>
      <c r="V5" s="64">
        <f>MAX(MIN($M5*Model!$A$15+$N5,$O5)*$P5,0)</f>
        <v>72.7</v>
      </c>
      <c r="W5" s="64">
        <f>MAX(MIN($M5*Model!$A$16+$N5,$O5)*$P5,0)</f>
        <v>68.5</v>
      </c>
      <c r="X5" s="64">
        <f>MAX(MIN($M5*Model!$A$17+$N5,$O5)*$P5,0)</f>
        <v>63.25</v>
      </c>
      <c r="Y5" s="64">
        <f>MAX(MIN($M5*Model!$A$18+$N5,$O5)*$P5,0)</f>
        <v>62.2</v>
      </c>
      <c r="Z5" s="64">
        <f>MAX(MIN($M5*Model!$A$19+$N5,$O5)*$P5,0)</f>
        <v>58</v>
      </c>
      <c r="AA5" s="64">
        <f>T5*Model!$B$13+U5*Model!$B$14+V5*Model!$B$15+W5*Model!$B$16+X5*Model!$B$17+Y5*Model!$B$18+Z5*Model!$B$19</f>
        <v>72.1375</v>
      </c>
      <c r="AB5" s="50">
        <v>0.4</v>
      </c>
      <c r="AC5" s="50">
        <v>0.65</v>
      </c>
      <c r="AD5" s="65" t="str">
        <f>CONCATENATE("stat(bullet_velocity;",'5.8x42mm-ammo'!$AE5,";",'5.8x42mm-ammo'!$AF5,";",'5.8x42mm-ammo'!$AG5,";",'5.8x42mm-ammo'!$AH5,")")</f>
        <v>stat(bullet_velocity;0.5;0.9;1500;3000)</v>
      </c>
      <c r="AE5" s="66">
        <v>0.5</v>
      </c>
      <c r="AF5" s="66">
        <v>0.9</v>
      </c>
      <c r="AG5" s="67">
        <v>1500.0</v>
      </c>
      <c r="AH5" s="67">
        <v>3000.0</v>
      </c>
      <c r="AI5" s="68">
        <f>Model!$B$4+IF(I5="",0,I5)</f>
        <v>2450</v>
      </c>
      <c r="AJ5" s="69">
        <f t="shared" si="1"/>
        <v>0.7533333333</v>
      </c>
      <c r="AK5" s="70" t="s">
        <v>88</v>
      </c>
      <c r="AL5" s="71" t="s">
        <v>89</v>
      </c>
      <c r="AM5" s="58">
        <f>C5*Model!$B$24+D8*Model!$B$25+E5*Model!$B$26+F5*Model!$B$27+G5*Model!$B$28+H5*Model!$B$29+I5*Model!$B$30+J5*Model!$B$31+L5*Model!$B$32+K5*Model!$B$33</f>
        <v>-2.65</v>
      </c>
      <c r="AN5" s="72">
        <f>(AA5-Model!$B$5)*Model!$B$35</f>
        <v>-7.29375</v>
      </c>
      <c r="AO5" s="73">
        <f>(Model!$B$6-AB5)*Model!$B$36</f>
        <v>-0.1</v>
      </c>
      <c r="AP5" s="73">
        <f>(AC5-Model!$B$7)*Model!$B$37</f>
        <v>0.45</v>
      </c>
      <c r="AQ5" s="73">
        <f>(AJ5-Model!$B$8)*Model!$B$38</f>
        <v>0.8133333333</v>
      </c>
      <c r="AR5" s="73">
        <f t="shared" si="2"/>
        <v>-8.780416667</v>
      </c>
    </row>
    <row r="6" ht="14.25" customHeight="1">
      <c r="A6" s="38" t="s">
        <v>94</v>
      </c>
      <c r="B6" s="60" t="s">
        <v>95</v>
      </c>
      <c r="C6" s="40">
        <v>1.0</v>
      </c>
      <c r="D6" s="41">
        <v>0.05</v>
      </c>
      <c r="E6" s="40">
        <v>-2.0</v>
      </c>
      <c r="F6" s="40">
        <v>-2.0</v>
      </c>
      <c r="G6" s="41">
        <v>0.05</v>
      </c>
      <c r="H6" s="61"/>
      <c r="I6" s="40">
        <v>-50.0</v>
      </c>
      <c r="J6" s="62"/>
      <c r="K6" s="63">
        <v>0.0</v>
      </c>
      <c r="L6" s="45">
        <v>2000.0</v>
      </c>
      <c r="M6" s="46">
        <v>-0.048</v>
      </c>
      <c r="N6" s="46">
        <v>80.0</v>
      </c>
      <c r="O6" s="46">
        <v>76.0</v>
      </c>
      <c r="P6" s="46">
        <v>1.0</v>
      </c>
      <c r="Q6" s="46">
        <v>0.25</v>
      </c>
      <c r="R6" s="47">
        <v>0.45</v>
      </c>
      <c r="S6" s="48">
        <v>2.5</v>
      </c>
      <c r="T6" s="64">
        <f>MAX(MIN($M6*Model!$A$13+$N6,$O6)*$P6,0)</f>
        <v>76</v>
      </c>
      <c r="U6" s="64">
        <f>MAX(MIN($M6*Model!$A$14+$N6,$O6)*$P6,0)</f>
        <v>76</v>
      </c>
      <c r="V6" s="64">
        <f>MAX(MIN($M6*Model!$A$15+$N6,$O6)*$P6,0)</f>
        <v>72.8</v>
      </c>
      <c r="W6" s="64">
        <f>MAX(MIN($M6*Model!$A$16+$N6,$O6)*$P6,0)</f>
        <v>68</v>
      </c>
      <c r="X6" s="64">
        <f>MAX(MIN($M6*Model!$A$17+$N6,$O6)*$P6,0)</f>
        <v>62</v>
      </c>
      <c r="Y6" s="64">
        <f>MAX(MIN($M6*Model!$A$18+$N6,$O6)*$P6,0)</f>
        <v>60.8</v>
      </c>
      <c r="Z6" s="64">
        <f>MAX(MIN($M6*Model!$A$19+$N6,$O6)*$P6,0)</f>
        <v>56</v>
      </c>
      <c r="AA6" s="64">
        <f>T6*Model!$B$13+U6*Model!$B$14+V6*Model!$B$15+W6*Model!$B$16+X6*Model!$B$17+Y6*Model!$B$18+Z6*Model!$B$19</f>
        <v>71.8</v>
      </c>
      <c r="AB6" s="50">
        <v>0.45</v>
      </c>
      <c r="AC6" s="50">
        <v>1.15</v>
      </c>
      <c r="AD6" s="65" t="str">
        <f>CONCATENATE("stat(bullet_velocity;",'5.8x42mm-ammo'!$AE6,";",'5.8x42mm-ammo'!$AF6,";",'5.8x42mm-ammo'!$AG6,";",'5.8x42mm-ammo'!$AH6,")")</f>
        <v>stat(bullet_velocity;0.85;1.25;1500;3000)</v>
      </c>
      <c r="AE6" s="66">
        <v>0.85</v>
      </c>
      <c r="AF6" s="66">
        <v>1.25</v>
      </c>
      <c r="AG6" s="67">
        <v>1500.0</v>
      </c>
      <c r="AH6" s="67">
        <v>3000.0</v>
      </c>
      <c r="AI6" s="68">
        <f>Model!$B$4+IF(I6="",0,I6)</f>
        <v>2450</v>
      </c>
      <c r="AJ6" s="69">
        <f t="shared" si="1"/>
        <v>1.103333333</v>
      </c>
      <c r="AK6" s="70" t="s">
        <v>88</v>
      </c>
      <c r="AL6" s="71" t="s">
        <v>89</v>
      </c>
      <c r="AM6" s="58">
        <f>C6*Model!$B$24+D9*Model!$B$25+E6*Model!$B$26+F6*Model!$B$27+G6*Model!$B$28+H6*Model!$B$29+I6*Model!$B$30+J6*Model!$B$31+L6*Model!$B$32+K6*Model!$B$33</f>
        <v>-0.05</v>
      </c>
      <c r="AN6" s="58">
        <f>(AA6-Model!$B$5)*Model!$B$35</f>
        <v>-7.8</v>
      </c>
      <c r="AO6" s="73">
        <f>(Model!$B$6-AB6)*Model!$B$36</f>
        <v>-0.2</v>
      </c>
      <c r="AP6" s="73">
        <f>(AC6-Model!$B$7)*Model!$B$37</f>
        <v>1.95</v>
      </c>
      <c r="AQ6" s="73">
        <f>(AJ6-Model!$B$8)*Model!$B$38</f>
        <v>2.213333333</v>
      </c>
      <c r="AR6" s="73">
        <f t="shared" si="2"/>
        <v>-3.886666667</v>
      </c>
    </row>
    <row r="7" ht="14.25" customHeight="1">
      <c r="A7" s="38" t="s">
        <v>96</v>
      </c>
      <c r="B7" s="74" t="s">
        <v>97</v>
      </c>
      <c r="C7" s="40">
        <v>1.0</v>
      </c>
      <c r="D7" s="41">
        <v>0.07</v>
      </c>
      <c r="E7" s="40">
        <v>-1.0</v>
      </c>
      <c r="F7" s="40">
        <v>0.0</v>
      </c>
      <c r="G7" s="41">
        <v>-0.1</v>
      </c>
      <c r="H7" s="61"/>
      <c r="I7" s="40">
        <v>-75.0</v>
      </c>
      <c r="J7" s="62"/>
      <c r="K7" s="44">
        <v>0.0</v>
      </c>
      <c r="L7" s="45">
        <v>3500.0</v>
      </c>
      <c r="M7" s="46">
        <v>-0.038</v>
      </c>
      <c r="N7" s="46">
        <v>80.0</v>
      </c>
      <c r="O7" s="46">
        <v>78.0</v>
      </c>
      <c r="P7" s="46">
        <v>1.0</v>
      </c>
      <c r="Q7" s="46">
        <v>0.3</v>
      </c>
      <c r="R7" s="47">
        <v>0.5</v>
      </c>
      <c r="S7" s="48">
        <v>2.5</v>
      </c>
      <c r="T7" s="64">
        <f>MAX(MIN($M7*Model!$A$13+$N7,$O7)*$P7,0)</f>
        <v>78</v>
      </c>
      <c r="U7" s="64">
        <f>MAX(MIN($M7*Model!$A$14+$N7,$O7)*$P7,0)</f>
        <v>77.15</v>
      </c>
      <c r="V7" s="64">
        <f>MAX(MIN($M7*Model!$A$15+$N7,$O7)*$P7,0)</f>
        <v>74.3</v>
      </c>
      <c r="W7" s="64">
        <f>MAX(MIN($M7*Model!$A$16+$N7,$O7)*$P7,0)</f>
        <v>70.5</v>
      </c>
      <c r="X7" s="64">
        <f>MAX(MIN($M7*Model!$A$17+$N7,$O7)*$P7,0)</f>
        <v>65.75</v>
      </c>
      <c r="Y7" s="64">
        <f>MAX(MIN($M7*Model!$A$18+$N7,$O7)*$P7,0)</f>
        <v>64.8</v>
      </c>
      <c r="Z7" s="64">
        <f>MAX(MIN($M7*Model!$A$19+$N7,$O7)*$P7,0)</f>
        <v>61</v>
      </c>
      <c r="AA7" s="64">
        <f>T7*Model!$B$13+U7*Model!$B$14+V7*Model!$B$15+W7*Model!$B$16+X7*Model!$B$17+Y7*Model!$B$18+Z7*Model!$B$19</f>
        <v>73.7625</v>
      </c>
      <c r="AB7" s="50">
        <v>0.3</v>
      </c>
      <c r="AC7" s="50">
        <v>0.5</v>
      </c>
      <c r="AD7" s="65" t="str">
        <f>CONCATENATE("stat(bullet_velocity;",'5.8x42mm-ammo'!$AE7,";",'5.8x42mm-ammo'!$AF7,";",'5.8x42mm-ammo'!$AG7,";",'5.8x42mm-ammo'!$AH7,")")</f>
        <v>stat(bullet_velocity;0.3;0.7;1500;3000)</v>
      </c>
      <c r="AE7" s="66">
        <v>0.3</v>
      </c>
      <c r="AF7" s="66">
        <v>0.7</v>
      </c>
      <c r="AG7" s="67">
        <v>1500.0</v>
      </c>
      <c r="AH7" s="67">
        <v>3000.0</v>
      </c>
      <c r="AI7" s="68">
        <f>Model!$B$4+IF(I7="",0,I7)</f>
        <v>2425</v>
      </c>
      <c r="AJ7" s="69">
        <f t="shared" si="1"/>
        <v>0.5466666667</v>
      </c>
      <c r="AK7" s="70" t="s">
        <v>88</v>
      </c>
      <c r="AL7" s="71" t="s">
        <v>89</v>
      </c>
      <c r="AM7" s="58">
        <f>C7*Model!$B$24+D10*Model!$B$25+E7*Model!$B$26+F7*Model!$B$27+G7*Model!$B$28+H7*Model!$B$29+I7*Model!$B$30+J7*Model!$B$31+L7*Model!$B$32+K7*Model!$B$33</f>
        <v>1.225</v>
      </c>
      <c r="AN7" s="58">
        <f>(AA7-Model!$B$5)*Model!$B$35</f>
        <v>-4.85625</v>
      </c>
      <c r="AO7" s="73">
        <f>(Model!$B$6-AB7)*Model!$B$36</f>
        <v>0.1</v>
      </c>
      <c r="AP7" s="73">
        <f>(AC7-Model!$B$7)*Model!$B$37</f>
        <v>0</v>
      </c>
      <c r="AQ7" s="73">
        <f>(AJ7-Model!$B$8)*Model!$B$38</f>
        <v>-0.01333333333</v>
      </c>
      <c r="AR7" s="73">
        <f t="shared" si="2"/>
        <v>-3.544583333</v>
      </c>
    </row>
    <row r="8" ht="14.25" customHeight="1">
      <c r="A8" s="38" t="s">
        <v>98</v>
      </c>
      <c r="B8" s="60" t="s">
        <v>99</v>
      </c>
      <c r="C8" s="40">
        <v>0.0</v>
      </c>
      <c r="D8" s="41">
        <v>0.09</v>
      </c>
      <c r="E8" s="40">
        <v>-1.0</v>
      </c>
      <c r="F8" s="40">
        <v>-2.0</v>
      </c>
      <c r="G8" s="41">
        <v>0.0</v>
      </c>
      <c r="H8" s="61"/>
      <c r="I8" s="40">
        <v>-150.0</v>
      </c>
      <c r="J8" s="62"/>
      <c r="K8" s="44">
        <v>0.0</v>
      </c>
      <c r="L8" s="45">
        <v>1750.0</v>
      </c>
      <c r="M8" s="46">
        <v>-0.054</v>
      </c>
      <c r="N8" s="46">
        <v>81.0</v>
      </c>
      <c r="O8" s="46">
        <v>80.5</v>
      </c>
      <c r="P8" s="46">
        <v>1.0</v>
      </c>
      <c r="Q8" s="46">
        <v>0.3</v>
      </c>
      <c r="R8" s="47">
        <v>0.5</v>
      </c>
      <c r="S8" s="48">
        <v>2.5</v>
      </c>
      <c r="T8" s="64">
        <f>MAX(MIN($M8*Model!$A$13+$N8,$O8)*$P8,0)</f>
        <v>79.65</v>
      </c>
      <c r="U8" s="64">
        <f>MAX(MIN($M8*Model!$A$14+$N8,$O8)*$P8,0)</f>
        <v>76.95</v>
      </c>
      <c r="V8" s="64">
        <f>MAX(MIN($M8*Model!$A$15+$N8,$O8)*$P8,0)</f>
        <v>72.9</v>
      </c>
      <c r="W8" s="64">
        <f>MAX(MIN($M8*Model!$A$16+$N8,$O8)*$P8,0)</f>
        <v>67.5</v>
      </c>
      <c r="X8" s="64">
        <f>MAX(MIN($M8*Model!$A$17+$N8,$O8)*$P8,0)</f>
        <v>60.75</v>
      </c>
      <c r="Y8" s="64">
        <f>MAX(MIN($M8*Model!$A$18+$N8,$O8)*$P8,0)</f>
        <v>59.4</v>
      </c>
      <c r="Z8" s="64">
        <f>MAX(MIN($M8*Model!$A$19+$N8,$O8)*$P8,0)</f>
        <v>54</v>
      </c>
      <c r="AA8" s="64">
        <f>T8*Model!$B$13+U8*Model!$B$14+V8*Model!$B$15+W8*Model!$B$16+X8*Model!$B$17+Y8*Model!$B$18+Z8*Model!$B$19</f>
        <v>72.36</v>
      </c>
      <c r="AB8" s="50">
        <v>0.45</v>
      </c>
      <c r="AC8" s="50">
        <v>0.7</v>
      </c>
      <c r="AD8" s="65" t="str">
        <f>CONCATENATE("stat(bullet_velocity;",'5.8x42mm-ammo'!$AE8,";",'5.8x42mm-ammo'!$AF8,";",'5.8x42mm-ammo'!$AG8,";",'5.8x42mm-ammo'!$AH8,")")</f>
        <v>stat(bullet_velocity;0.4;0.8;1500;3000)</v>
      </c>
      <c r="AE8" s="66">
        <v>0.4</v>
      </c>
      <c r="AF8" s="66">
        <v>0.8</v>
      </c>
      <c r="AG8" s="67">
        <v>1500.0</v>
      </c>
      <c r="AH8" s="67">
        <v>3000.0</v>
      </c>
      <c r="AI8" s="68">
        <f>Model!$B$4+IF(I8="",0,I8)</f>
        <v>2350</v>
      </c>
      <c r="AJ8" s="69">
        <f t="shared" si="1"/>
        <v>0.6266666667</v>
      </c>
      <c r="AK8" s="70" t="s">
        <v>88</v>
      </c>
      <c r="AL8" s="71" t="s">
        <v>89</v>
      </c>
      <c r="AM8" s="58">
        <f>C8*Model!$B$24+D11*Model!$B$25+E8*Model!$B$26+F8*Model!$B$27+G8*Model!$B$28+H8*Model!$B$29+I8*Model!$B$30+J8*Model!$B$31+L8*Model!$B$32+K8*Model!$B$33</f>
        <v>-1.15</v>
      </c>
      <c r="AN8" s="58">
        <f>(AA8-Model!$B$5)*Model!$B$35</f>
        <v>-6.96</v>
      </c>
      <c r="AO8" s="73">
        <f>(Model!$B$6-AB8)*Model!$B$36</f>
        <v>-0.2</v>
      </c>
      <c r="AP8" s="73">
        <f>(AC8-Model!$B$7)*Model!$B$37</f>
        <v>0.6</v>
      </c>
      <c r="AQ8" s="73">
        <f>(AJ8-Model!$B$8)*Model!$B$38</f>
        <v>0.3066666667</v>
      </c>
      <c r="AR8" s="73">
        <f t="shared" si="2"/>
        <v>-7.403333333</v>
      </c>
    </row>
    <row r="9" ht="14.25" customHeight="1">
      <c r="A9" s="38" t="s">
        <v>100</v>
      </c>
      <c r="B9" s="60" t="s">
        <v>101</v>
      </c>
      <c r="C9" s="40">
        <v>-1.0</v>
      </c>
      <c r="D9" s="41">
        <v>0.13</v>
      </c>
      <c r="E9" s="40">
        <v>3.0</v>
      </c>
      <c r="F9" s="40">
        <v>7.0</v>
      </c>
      <c r="G9" s="41">
        <v>-0.2</v>
      </c>
      <c r="H9" s="61"/>
      <c r="I9" s="40">
        <v>-125.0</v>
      </c>
      <c r="J9" s="62"/>
      <c r="K9" s="44">
        <v>0.0</v>
      </c>
      <c r="L9" s="45">
        <v>4000.0</v>
      </c>
      <c r="M9" s="46">
        <v>-0.03</v>
      </c>
      <c r="N9" s="46">
        <v>77.0</v>
      </c>
      <c r="O9" s="46">
        <v>75.0</v>
      </c>
      <c r="P9" s="46">
        <v>1.0</v>
      </c>
      <c r="Q9" s="46">
        <v>0.35</v>
      </c>
      <c r="R9" s="47">
        <v>0.55</v>
      </c>
      <c r="S9" s="48">
        <v>2.5</v>
      </c>
      <c r="T9" s="64">
        <f>MAX(MIN($M9*Model!$A$13+$N9,$O9)*$P9,0)</f>
        <v>75</v>
      </c>
      <c r="U9" s="64">
        <f>MAX(MIN($M9*Model!$A$14+$N9,$O9)*$P9,0)</f>
        <v>74.75</v>
      </c>
      <c r="V9" s="64">
        <f>MAX(MIN($M9*Model!$A$15+$N9,$O9)*$P9,0)</f>
        <v>72.5</v>
      </c>
      <c r="W9" s="64">
        <f>MAX(MIN($M9*Model!$A$16+$N9,$O9)*$P9,0)</f>
        <v>69.5</v>
      </c>
      <c r="X9" s="64">
        <f>MAX(MIN($M9*Model!$A$17+$N9,$O9)*$P9,0)</f>
        <v>65.75</v>
      </c>
      <c r="Y9" s="64">
        <f>MAX(MIN($M9*Model!$A$18+$N9,$O9)*$P9,0)</f>
        <v>65</v>
      </c>
      <c r="Z9" s="64">
        <f>MAX(MIN($M9*Model!$A$19+$N9,$O9)*$P9,0)</f>
        <v>62</v>
      </c>
      <c r="AA9" s="64">
        <f>T9*Model!$B$13+U9*Model!$B$14+V9*Model!$B$15+W9*Model!$B$16+X9*Model!$B$17+Y9*Model!$B$18+Z9*Model!$B$19</f>
        <v>72.0125</v>
      </c>
      <c r="AB9" s="50">
        <v>0.25</v>
      </c>
      <c r="AC9" s="50">
        <v>0.65</v>
      </c>
      <c r="AD9" s="65" t="str">
        <f>CONCATENATE("stat(bullet_velocity;",'5.8x42mm-ammo'!$AE9,";",'5.8x42mm-ammo'!$AF9,";",'5.8x42mm-ammo'!$AG9,";",'5.8x42mm-ammo'!$AH9,")")</f>
        <v>stat(bullet_velocity;0.15;0.55;1500;3000)</v>
      </c>
      <c r="AE9" s="66">
        <v>0.15</v>
      </c>
      <c r="AF9" s="66">
        <v>0.55</v>
      </c>
      <c r="AG9" s="67">
        <v>1500.0</v>
      </c>
      <c r="AH9" s="67">
        <v>3000.0</v>
      </c>
      <c r="AI9" s="68">
        <f>Model!$B$4+IF(I9="",0,I9)</f>
        <v>2375</v>
      </c>
      <c r="AJ9" s="69">
        <f t="shared" si="1"/>
        <v>0.3833333333</v>
      </c>
      <c r="AK9" s="70" t="s">
        <v>88</v>
      </c>
      <c r="AL9" s="71" t="s">
        <v>89</v>
      </c>
      <c r="AM9" s="58">
        <f>C9*Model!$B$24+D12*Model!$B$25+E9*Model!$B$26+F9*Model!$B$27+G9*Model!$B$28+H9*Model!$B$29+I9*Model!$B$30+J9*Model!$B$31+L9*Model!$B$32+K9*Model!$B$33</f>
        <v>-5.825</v>
      </c>
      <c r="AN9" s="58">
        <f>(AA9-Model!$B$5)*Model!$B$35</f>
        <v>-7.48125</v>
      </c>
      <c r="AO9" s="73">
        <f>(Model!$B$6-AB9)*Model!$B$36</f>
        <v>0.2</v>
      </c>
      <c r="AP9" s="73">
        <f>(AC9-Model!$B$7)*Model!$B$37</f>
        <v>0.45</v>
      </c>
      <c r="AQ9" s="73">
        <f>(AJ9-Model!$B$8)*Model!$B$38</f>
        <v>-0.6666666667</v>
      </c>
      <c r="AR9" s="73">
        <f t="shared" si="2"/>
        <v>-13.32291667</v>
      </c>
    </row>
    <row r="10" ht="14.25" customHeight="1">
      <c r="A10" s="38" t="s">
        <v>102</v>
      </c>
      <c r="B10" s="60" t="s">
        <v>103</v>
      </c>
      <c r="C10" s="40">
        <v>-1.0</v>
      </c>
      <c r="D10" s="41">
        <v>0.11</v>
      </c>
      <c r="E10" s="40">
        <v>-1.0</v>
      </c>
      <c r="F10" s="40">
        <v>0.0</v>
      </c>
      <c r="G10" s="41">
        <v>0.05</v>
      </c>
      <c r="H10" s="61"/>
      <c r="I10" s="40">
        <v>-175.0</v>
      </c>
      <c r="J10" s="62"/>
      <c r="K10" s="63">
        <v>0.0</v>
      </c>
      <c r="L10" s="45">
        <v>1250.0</v>
      </c>
      <c r="M10" s="46">
        <v>-0.048</v>
      </c>
      <c r="N10" s="46">
        <v>79.0</v>
      </c>
      <c r="O10" s="46">
        <v>77.5</v>
      </c>
      <c r="P10" s="46">
        <v>1.0</v>
      </c>
      <c r="Q10" s="46">
        <v>0.25</v>
      </c>
      <c r="R10" s="47">
        <v>0.45</v>
      </c>
      <c r="S10" s="48">
        <v>2.5</v>
      </c>
      <c r="T10" s="64">
        <f>MAX(MIN($M10*Model!$A$13+$N10,$O10)*$P10,0)</f>
        <v>77.5</v>
      </c>
      <c r="U10" s="64">
        <f>MAX(MIN($M10*Model!$A$14+$N10,$O10)*$P10,0)</f>
        <v>75.4</v>
      </c>
      <c r="V10" s="64">
        <f>MAX(MIN($M10*Model!$A$15+$N10,$O10)*$P10,0)</f>
        <v>71.8</v>
      </c>
      <c r="W10" s="64">
        <f>MAX(MIN($M10*Model!$A$16+$N10,$O10)*$P10,0)</f>
        <v>67</v>
      </c>
      <c r="X10" s="64">
        <f>MAX(MIN($M10*Model!$A$17+$N10,$O10)*$P10,0)</f>
        <v>61</v>
      </c>
      <c r="Y10" s="64">
        <f>MAX(MIN($M10*Model!$A$18+$N10,$O10)*$P10,0)</f>
        <v>59.8</v>
      </c>
      <c r="Z10" s="64">
        <f>MAX(MIN($M10*Model!$A$19+$N10,$O10)*$P10,0)</f>
        <v>55</v>
      </c>
      <c r="AA10" s="64">
        <f>T10*Model!$B$13+U10*Model!$B$14+V10*Model!$B$15+W10*Model!$B$16+X10*Model!$B$17+Y10*Model!$B$18+Z10*Model!$B$19</f>
        <v>71.275</v>
      </c>
      <c r="AB10" s="50">
        <v>0.5</v>
      </c>
      <c r="AC10" s="50">
        <v>0.7</v>
      </c>
      <c r="AD10" s="65" t="str">
        <f>CONCATENATE("stat(bullet_velocity;",'5.8x42mm-ammo'!$AE10,";",'5.8x42mm-ammo'!$AF10,";",'5.8x42mm-ammo'!$AG10,";",'5.8x42mm-ammo'!$AH10,")")</f>
        <v>stat(bullet_velocity;0.9;1.3;1500;3000)</v>
      </c>
      <c r="AE10" s="66">
        <v>0.9</v>
      </c>
      <c r="AF10" s="66">
        <v>1.3</v>
      </c>
      <c r="AG10" s="67">
        <v>1500.0</v>
      </c>
      <c r="AH10" s="67">
        <v>3000.0</v>
      </c>
      <c r="AI10" s="68">
        <f>Model!$B$4+IF(I10="",0,I10)</f>
        <v>2325</v>
      </c>
      <c r="AJ10" s="69">
        <f t="shared" si="1"/>
        <v>1.12</v>
      </c>
      <c r="AK10" s="70" t="s">
        <v>88</v>
      </c>
      <c r="AL10" s="71" t="s">
        <v>89</v>
      </c>
      <c r="AM10" s="58">
        <f>C10*Model!$B$24+D10*Model!$B$25+E10*Model!$B$26+F10*Model!$B$27+G10*Model!$B$28+H10*Model!$B$29+I10*Model!$B$30+J10*Model!$B$31+L10*Model!$B$32+K10*Model!$B$33</f>
        <v>-4.275</v>
      </c>
      <c r="AN10" s="72">
        <f>(AA10-Model!$B$5)*Model!$B$35</f>
        <v>-8.5875</v>
      </c>
      <c r="AO10" s="73">
        <f>(Model!$B$6-AB10)*Model!$B$36</f>
        <v>-0.3</v>
      </c>
      <c r="AP10" s="73">
        <f>(AC10-Model!$B$7)*Model!$B$37</f>
        <v>0.6</v>
      </c>
      <c r="AQ10" s="73">
        <f>(AJ10-Model!$B$8)*Model!$B$38</f>
        <v>2.28</v>
      </c>
      <c r="AR10" s="73">
        <f t="shared" si="2"/>
        <v>-10.2825</v>
      </c>
    </row>
    <row r="11" ht="14.25" customHeight="1">
      <c r="A11" s="38" t="s">
        <v>104</v>
      </c>
      <c r="B11" s="60" t="s">
        <v>105</v>
      </c>
      <c r="C11" s="40">
        <v>-2.0</v>
      </c>
      <c r="D11" s="41">
        <v>0.12</v>
      </c>
      <c r="E11" s="40">
        <v>2.0</v>
      </c>
      <c r="F11" s="40">
        <v>1.0</v>
      </c>
      <c r="G11" s="41">
        <v>-0.1</v>
      </c>
      <c r="H11" s="61"/>
      <c r="I11" s="40">
        <v>-125.0</v>
      </c>
      <c r="J11" s="62"/>
      <c r="K11" s="63">
        <v>0.0</v>
      </c>
      <c r="L11" s="45">
        <v>5000.0</v>
      </c>
      <c r="M11" s="75">
        <v>-0.058</v>
      </c>
      <c r="N11" s="75">
        <v>86.0</v>
      </c>
      <c r="O11" s="46">
        <v>79.0</v>
      </c>
      <c r="P11" s="46">
        <v>1.0</v>
      </c>
      <c r="Q11" s="46">
        <v>0.2</v>
      </c>
      <c r="R11" s="47">
        <v>0.4</v>
      </c>
      <c r="S11" s="48">
        <v>2.5</v>
      </c>
      <c r="T11" s="64">
        <f>MAX(MIN($M11*Model!$A$13+$N11,$O11)*$P11,0)</f>
        <v>79</v>
      </c>
      <c r="U11" s="64">
        <f>MAX(MIN($M11*Model!$A$14+$N11,$O11)*$P11,0)</f>
        <v>79</v>
      </c>
      <c r="V11" s="64">
        <f>MAX(MIN($M11*Model!$A$15+$N11,$O11)*$P11,0)</f>
        <v>77.3</v>
      </c>
      <c r="W11" s="64">
        <f>MAX(MIN($M11*Model!$A$16+$N11,$O11)*$P11,0)</f>
        <v>71.5</v>
      </c>
      <c r="X11" s="64">
        <f>MAX(MIN($M11*Model!$A$17+$N11,$O11)*$P11,0)</f>
        <v>64.25</v>
      </c>
      <c r="Y11" s="64">
        <f>MAX(MIN($M11*Model!$A$18+$N11,$O11)*$P11,0)</f>
        <v>62.8</v>
      </c>
      <c r="Z11" s="64">
        <f>MAX(MIN($M11*Model!$A$19+$N11,$O11)*$P11,0)</f>
        <v>57</v>
      </c>
      <c r="AA11" s="64">
        <f>T11*Model!$B$13+U11*Model!$B$14+V11*Model!$B$15+W11*Model!$B$16+X11*Model!$B$17+Y11*Model!$B$18+Z11*Model!$B$19</f>
        <v>75.225</v>
      </c>
      <c r="AB11" s="50">
        <v>0.55</v>
      </c>
      <c r="AC11" s="50">
        <v>0.5</v>
      </c>
      <c r="AD11" s="65" t="str">
        <f>CONCATENATE("stat(bullet_velocity;",'5.8x42mm-ammo'!$AE11,";",'5.8x42mm-ammo'!$AF11,";",'5.8x42mm-ammo'!$AG11,";",'5.8x42mm-ammo'!$AH11,")")</f>
        <v>stat(bullet_velocity;1.2;1.6;1500;3000)</v>
      </c>
      <c r="AE11" s="66">
        <v>1.2</v>
      </c>
      <c r="AF11" s="66">
        <v>1.6</v>
      </c>
      <c r="AG11" s="67">
        <v>1500.0</v>
      </c>
      <c r="AH11" s="67">
        <v>3000.0</v>
      </c>
      <c r="AI11" s="68">
        <f>Model!$B$4+IF(I11="",0,I11)</f>
        <v>2375</v>
      </c>
      <c r="AJ11" s="69">
        <f t="shared" si="1"/>
        <v>1.433333333</v>
      </c>
      <c r="AK11" s="70" t="s">
        <v>88</v>
      </c>
      <c r="AL11" s="71" t="s">
        <v>89</v>
      </c>
      <c r="AM11" s="58">
        <f>C11*Model!$B$24+D14*Model!$B$25+E11*Model!$B$26+F11*Model!$B$27+G11*Model!$B$28+H11*Model!$B$29+I11*Model!$B$30+J11*Model!$B$31+L11*Model!$B$32+K11*Model!$B$33</f>
        <v>-2.825</v>
      </c>
      <c r="AN11" s="72">
        <f>(AA11-Model!$B$5)*Model!$B$35</f>
        <v>-2.6625</v>
      </c>
      <c r="AO11" s="73">
        <f>(Model!$B$6-AB11)*Model!$B$36</f>
        <v>-0.4</v>
      </c>
      <c r="AP11" s="73">
        <f>(AC11-Model!$B$7)*Model!$B$37</f>
        <v>0</v>
      </c>
      <c r="AQ11" s="73">
        <f>(AJ11-Model!$B$8)*Model!$B$38</f>
        <v>3.533333333</v>
      </c>
      <c r="AR11" s="73">
        <f t="shared" si="2"/>
        <v>-2.354166667</v>
      </c>
    </row>
    <row r="12" ht="14.25" customHeight="1">
      <c r="A12" s="74" t="s">
        <v>106</v>
      </c>
      <c r="B12" s="60" t="s">
        <v>107</v>
      </c>
      <c r="C12" s="40">
        <v>1.0</v>
      </c>
      <c r="D12" s="41">
        <v>0.08</v>
      </c>
      <c r="E12" s="40">
        <v>0.0</v>
      </c>
      <c r="F12" s="40">
        <v>1.0</v>
      </c>
      <c r="G12" s="41">
        <v>-0.05</v>
      </c>
      <c r="H12" s="61"/>
      <c r="I12" s="40">
        <v>-100.0</v>
      </c>
      <c r="J12" s="62"/>
      <c r="K12" s="63">
        <v>0.0</v>
      </c>
      <c r="L12" s="45">
        <v>2500.0</v>
      </c>
      <c r="M12" s="46">
        <v>-0.066</v>
      </c>
      <c r="N12" s="46">
        <v>82.5</v>
      </c>
      <c r="O12" s="46">
        <v>82.5</v>
      </c>
      <c r="P12" s="46">
        <v>1.0</v>
      </c>
      <c r="Q12" s="46">
        <v>0.35</v>
      </c>
      <c r="R12" s="47">
        <v>0.55</v>
      </c>
      <c r="S12" s="48">
        <v>2.5</v>
      </c>
      <c r="T12" s="64">
        <f>MAX(MIN($M12*Model!$A$13+$N12,$O12)*$P12,0)</f>
        <v>80.85</v>
      </c>
      <c r="U12" s="64">
        <f>MAX(MIN($M12*Model!$A$14+$N12,$O12)*$P12,0)</f>
        <v>77.55</v>
      </c>
      <c r="V12" s="64">
        <f>MAX(MIN($M12*Model!$A$15+$N12,$O12)*$P12,0)</f>
        <v>72.6</v>
      </c>
      <c r="W12" s="64">
        <f>MAX(MIN($M12*Model!$A$16+$N12,$O12)*$P12,0)</f>
        <v>66</v>
      </c>
      <c r="X12" s="64">
        <f>MAX(MIN($M12*Model!$A$17+$N12,$O12)*$P12,0)</f>
        <v>57.75</v>
      </c>
      <c r="Y12" s="64">
        <f>MAX(MIN($M12*Model!$A$18+$N12,$O12)*$P12,0)</f>
        <v>56.1</v>
      </c>
      <c r="Z12" s="64">
        <f>MAX(MIN($M12*Model!$A$19+$N12,$O12)*$P12,0)</f>
        <v>49.5</v>
      </c>
      <c r="AA12" s="64">
        <f>T12*Model!$B$13+U12*Model!$B$14+V12*Model!$B$15+W12*Model!$B$16+X12*Model!$B$17+Y12*Model!$B$18+Z12*Model!$B$19</f>
        <v>71.94</v>
      </c>
      <c r="AB12" s="50">
        <v>0.5</v>
      </c>
      <c r="AC12" s="50">
        <v>0.45</v>
      </c>
      <c r="AD12" s="65" t="str">
        <f>CONCATENATE("stat(bullet_velocity;",'5.8x42mm-ammo'!$AE12,";",'5.8x42mm-ammo'!$AF12,";",'5.8x42mm-ammo'!$AG12,";",'5.8x42mm-ammo'!$AH12,")")</f>
        <v>stat(bullet_velocity;0.05;0.35;1500;3000)</v>
      </c>
      <c r="AE12" s="66">
        <v>0.05</v>
      </c>
      <c r="AF12" s="66">
        <v>0.35</v>
      </c>
      <c r="AG12" s="67">
        <v>1500.0</v>
      </c>
      <c r="AH12" s="67">
        <v>3000.0</v>
      </c>
      <c r="AI12" s="68">
        <f>Model!$B$4+IF(I12="",0,I12)</f>
        <v>2400</v>
      </c>
      <c r="AJ12" s="69">
        <f t="shared" si="1"/>
        <v>0.23</v>
      </c>
      <c r="AK12" s="70" t="s">
        <v>88</v>
      </c>
      <c r="AL12" s="71" t="s">
        <v>89</v>
      </c>
      <c r="AM12" s="58">
        <f>C12*Model!$B$24+D15*Model!$B$25+E12*Model!$B$26+F12*Model!$B$27+G12*Model!$B$28+H12*Model!$B$29+I12*Model!$B$30+J12*Model!$B$31+L12*Model!$B$32+K12*Model!$B$33</f>
        <v>0.9</v>
      </c>
      <c r="AN12" s="72">
        <f>(AA12-Model!$B$5)*Model!$B$35</f>
        <v>-7.59</v>
      </c>
      <c r="AO12" s="73">
        <f>(Model!$B$6-AB12)*Model!$B$36</f>
        <v>-0.3</v>
      </c>
      <c r="AP12" s="73">
        <f>(AC12-Model!$B$7)*Model!$B$37</f>
        <v>-0.15</v>
      </c>
      <c r="AQ12" s="73">
        <f>(AJ12-Model!$B$8)*Model!$B$38</f>
        <v>-1.28</v>
      </c>
      <c r="AR12" s="73">
        <f t="shared" si="2"/>
        <v>-8.42</v>
      </c>
    </row>
    <row r="13" ht="14.25" customHeight="1">
      <c r="A13" s="76"/>
      <c r="B13" s="77"/>
      <c r="C13" s="78"/>
      <c r="D13" s="79" t="s">
        <v>108</v>
      </c>
      <c r="E13" s="78"/>
      <c r="F13" s="78"/>
      <c r="G13" s="79" t="s">
        <v>108</v>
      </c>
      <c r="H13" s="80"/>
      <c r="I13" s="79" t="s">
        <v>108</v>
      </c>
      <c r="J13" s="80"/>
      <c r="K13" s="81"/>
      <c r="L13" s="79" t="s">
        <v>108</v>
      </c>
      <c r="M13" s="79" t="s">
        <v>108</v>
      </c>
      <c r="N13" s="79" t="s">
        <v>108</v>
      </c>
      <c r="O13" s="79" t="s">
        <v>108</v>
      </c>
      <c r="P13" s="79" t="s">
        <v>108</v>
      </c>
      <c r="Q13" s="79" t="s">
        <v>108</v>
      </c>
      <c r="R13" s="79" t="s">
        <v>108</v>
      </c>
      <c r="S13" s="79" t="s">
        <v>108</v>
      </c>
      <c r="T13" s="80"/>
      <c r="U13" s="80"/>
      <c r="V13" s="80"/>
      <c r="W13" s="80"/>
      <c r="X13" s="80"/>
      <c r="Y13" s="80"/>
      <c r="Z13" s="80"/>
      <c r="AA13" s="80"/>
      <c r="AB13" s="79" t="s">
        <v>108</v>
      </c>
      <c r="AC13" s="79" t="s">
        <v>108</v>
      </c>
      <c r="AD13" s="80"/>
      <c r="AE13" s="79" t="s">
        <v>108</v>
      </c>
      <c r="AF13" s="79" t="s">
        <v>108</v>
      </c>
      <c r="AG13" s="80"/>
      <c r="AH13" s="80"/>
      <c r="AI13" s="82"/>
      <c r="AK13" s="80"/>
      <c r="AL13" s="80"/>
      <c r="AM13" s="80"/>
      <c r="AN13" s="80"/>
      <c r="AO13" s="80"/>
      <c r="AP13" s="80"/>
      <c r="AQ13" s="80"/>
      <c r="AR13" s="80"/>
    </row>
    <row r="14" ht="14.25" customHeight="1">
      <c r="A14" s="83"/>
      <c r="B14" s="84"/>
      <c r="C14" s="85"/>
      <c r="D14" s="86"/>
      <c r="E14" s="85"/>
      <c r="F14" s="85"/>
      <c r="G14" s="86"/>
      <c r="H14" s="87"/>
      <c r="I14" s="88"/>
      <c r="J14" s="87"/>
      <c r="K14" s="89"/>
      <c r="L14" s="86"/>
      <c r="M14" s="86"/>
      <c r="N14" s="86"/>
      <c r="O14" s="86"/>
      <c r="P14" s="86"/>
      <c r="Q14" s="86"/>
      <c r="R14" s="86"/>
      <c r="S14" s="86"/>
      <c r="T14" s="87"/>
      <c r="U14" s="87"/>
      <c r="V14" s="87"/>
      <c r="W14" s="87"/>
      <c r="X14" s="87"/>
      <c r="Y14" s="87"/>
      <c r="Z14" s="87"/>
      <c r="AA14" s="87"/>
      <c r="AB14" s="86"/>
      <c r="AC14" s="86"/>
      <c r="AD14" s="87"/>
      <c r="AE14" s="86"/>
      <c r="AF14" s="86"/>
      <c r="AG14" s="87"/>
      <c r="AH14" s="87"/>
      <c r="AI14" s="85"/>
      <c r="AJ14" s="90"/>
      <c r="AK14" s="87"/>
      <c r="AL14" s="87"/>
      <c r="AM14" s="87"/>
      <c r="AN14" s="87"/>
      <c r="AO14" s="87"/>
      <c r="AP14" s="87"/>
      <c r="AQ14" s="87"/>
      <c r="AR14" s="87"/>
    </row>
    <row r="15" ht="14.25" customHeight="1">
      <c r="A15" s="60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</row>
    <row r="16" ht="14.25" customHeight="1">
      <c r="A16" s="60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</row>
    <row r="17" ht="14.25" customHeight="1">
      <c r="A17" s="60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</row>
    <row r="18" ht="14.25" customHeight="1">
      <c r="A18" s="60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</row>
    <row r="19" ht="14.25" customHeight="1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</row>
    <row r="20" ht="14.25" customHeight="1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</row>
    <row r="21" ht="14.25" customHeight="1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</row>
    <row r="22" ht="14.25" customHeight="1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</row>
    <row r="23" ht="14.25" customHeight="1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</row>
    <row r="24" ht="14.25" customHeight="1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</row>
    <row r="25" ht="14.25" customHeight="1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</row>
    <row r="26" ht="14.25" customHeight="1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</row>
    <row r="27" ht="14.25" customHeight="1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</row>
    <row r="28" ht="14.25" customHeight="1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</row>
    <row r="29" ht="14.25" customHeight="1">
      <c r="A29" s="92" t="s">
        <v>109</v>
      </c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</row>
    <row r="30" ht="14.25" customHeight="1">
      <c r="A30" s="38" t="s">
        <v>86</v>
      </c>
      <c r="B30" s="75" t="s">
        <v>110</v>
      </c>
      <c r="C30" s="93">
        <v>0.0</v>
      </c>
      <c r="D30" s="50">
        <v>0.15</v>
      </c>
      <c r="E30" s="94">
        <v>0.0</v>
      </c>
      <c r="F30" s="94">
        <v>0.0</v>
      </c>
      <c r="G30" s="95">
        <v>0.0</v>
      </c>
      <c r="H30" s="96"/>
      <c r="I30" s="94">
        <v>0.0</v>
      </c>
      <c r="J30" s="97"/>
      <c r="K30" s="97"/>
      <c r="L30" s="98">
        <v>0.0</v>
      </c>
      <c r="M30" s="99">
        <v>-0.026</v>
      </c>
      <c r="N30" s="100">
        <v>75.0</v>
      </c>
      <c r="O30" s="101">
        <v>75.0</v>
      </c>
      <c r="P30" s="102">
        <v>1.0</v>
      </c>
      <c r="Q30" s="75">
        <v>0.3</v>
      </c>
      <c r="R30" s="75">
        <v>0.5</v>
      </c>
      <c r="S30" s="103">
        <v>2.5</v>
      </c>
      <c r="T30" s="104">
        <f>MAX(MIN($M30*Model!$A$13+$N30,$O30)*$P30,0)</f>
        <v>74.35</v>
      </c>
      <c r="U30" s="104">
        <f>MAX(MIN($M30*Model!$A$14+$N30,$O30)*$P30,0)</f>
        <v>73.05</v>
      </c>
      <c r="V30" s="104">
        <f>MAX(MIN($M30*Model!$A$15+$N30,$O30)*$P30,0)</f>
        <v>71.1</v>
      </c>
      <c r="W30" s="104">
        <f>MAX(MIN($M30*Model!$A$16+$N30,$O30)*$P30,0)</f>
        <v>68.5</v>
      </c>
      <c r="X30" s="104">
        <f>MAX(MIN($M30*Model!$A$17+$N30,$O30)*$P30,0)</f>
        <v>65.25</v>
      </c>
      <c r="Y30" s="104">
        <f>MAX(MIN($M30*Model!$A$18+$N30,$O30)*$P30,0)</f>
        <v>64.6</v>
      </c>
      <c r="Z30" s="104">
        <f>MAX(MIN($M30*Model!$A$19+$N30,$O30)*$P30,0)</f>
        <v>62</v>
      </c>
      <c r="AA30" s="104">
        <f>T30*Model!$B$13+U30*Model!$B$14+V30*Model!$B$15+W30*Model!$B$16+X30*Model!$B$17+Y30*Model!$B$18+Z30*Model!$B$19</f>
        <v>70.84</v>
      </c>
      <c r="AB30" s="105">
        <v>0.35</v>
      </c>
      <c r="AC30" s="105">
        <v>0.85</v>
      </c>
      <c r="AD30" s="106" t="str">
        <f>CONCATENATE("stat(bullet_velocity;",'5.8x42mm-ammo'!$AE30,";",'5.8x42mm-ammo'!$AF30,";",'5.8x42mm-ammo'!$AG30,";",'5.8x42mm-ammo'!$AH30,")")</f>
        <v>stat(bullet_velocity;0.55;0.85;1500;3000)</v>
      </c>
      <c r="AE30" s="107">
        <v>0.55</v>
      </c>
      <c r="AF30" s="107">
        <v>0.85</v>
      </c>
      <c r="AG30" s="108">
        <v>1500.0</v>
      </c>
      <c r="AH30" s="108">
        <v>3000.0</v>
      </c>
      <c r="AI30" s="109">
        <f>Model!$B$4+IF(I30="",0,I30)</f>
        <v>2500</v>
      </c>
      <c r="AJ30" s="69">
        <f t="shared" ref="AJ30:AJ32" si="3">MAX(AE30,MIN(AF30,AE30+(AI30-AG30)*(AF30-AE30)/(AH30-AG30)))</f>
        <v>0.75</v>
      </c>
      <c r="AK30" s="70" t="s">
        <v>88</v>
      </c>
      <c r="AL30" s="110" t="s">
        <v>89</v>
      </c>
      <c r="AM30" s="111">
        <f>C30*Model!$B$24+D30*Model!$B$25+E30*Model!$B$26+F30*Model!$B$27+G30*Model!$B$28+H30*Model!$B$29+I30*Model!$B$30+J30*Model!$B$31+L30*Model!$B$32</f>
        <v>-3</v>
      </c>
      <c r="AN30" s="111">
        <f>(AA30-Model!$B$5)*Model!$B$35</f>
        <v>-9.24</v>
      </c>
      <c r="AO30" s="111">
        <f>(Model!$B$6-AB30)*Model!$B$36</f>
        <v>0</v>
      </c>
      <c r="AP30" s="111">
        <f>(AC30-Model!$B$7)*Model!$B$37</f>
        <v>1.05</v>
      </c>
      <c r="AQ30" s="111">
        <f>(AJ30-Model!$B$8)*Model!$B$38</f>
        <v>0.8</v>
      </c>
      <c r="AR30" s="111">
        <f t="shared" ref="AR30:AR32" si="4">SUM(AM30:AQ30)</f>
        <v>-10.39</v>
      </c>
    </row>
    <row r="31" ht="14.25" customHeight="1">
      <c r="A31" s="38" t="s">
        <v>90</v>
      </c>
      <c r="B31" s="75" t="s">
        <v>111</v>
      </c>
      <c r="C31" s="93">
        <v>-1.0</v>
      </c>
      <c r="D31" s="50">
        <v>0.15</v>
      </c>
      <c r="E31" s="94">
        <v>-1.0</v>
      </c>
      <c r="F31" s="94">
        <v>-1.0</v>
      </c>
      <c r="G31" s="95">
        <v>0.05</v>
      </c>
      <c r="H31" s="96"/>
      <c r="I31" s="94">
        <v>0.0</v>
      </c>
      <c r="J31" s="97"/>
      <c r="K31" s="97"/>
      <c r="L31" s="98">
        <v>1000.0</v>
      </c>
      <c r="M31" s="112">
        <v>-0.03</v>
      </c>
      <c r="N31" s="113">
        <v>73.0</v>
      </c>
      <c r="O31" s="114">
        <v>73.0</v>
      </c>
      <c r="P31" s="102">
        <v>1.0</v>
      </c>
      <c r="Q31" s="75">
        <v>0.3</v>
      </c>
      <c r="R31" s="75">
        <v>0.5</v>
      </c>
      <c r="S31" s="103">
        <v>2.5</v>
      </c>
      <c r="T31" s="104">
        <f>MAX(MIN($M31*Model!$A$13+$N31,$O31)*$P31,0)</f>
        <v>72.25</v>
      </c>
      <c r="U31" s="104">
        <f>MAX(MIN($M31*Model!$A$14+$N31,$O31)*$P31,0)</f>
        <v>70.75</v>
      </c>
      <c r="V31" s="104">
        <f>MAX(MIN($M31*Model!$A$15+$N31,$O31)*$P31,0)</f>
        <v>68.5</v>
      </c>
      <c r="W31" s="104">
        <f>MAX(MIN($M31*Model!$A$16+$N31,$O31)*$P31,0)</f>
        <v>65.5</v>
      </c>
      <c r="X31" s="104">
        <f>MAX(MIN($M31*Model!$A$17+$N31,$O31)*$P31,0)</f>
        <v>61.75</v>
      </c>
      <c r="Y31" s="104">
        <f>MAX(MIN($M31*Model!$A$18+$N31,$O31)*$P31,0)</f>
        <v>61</v>
      </c>
      <c r="Z31" s="104">
        <f>MAX(MIN($M31*Model!$A$19+$N31,$O31)*$P31,0)</f>
        <v>58</v>
      </c>
      <c r="AA31" s="104">
        <f>T31*Model!$B$13+U31*Model!$B$14+V31*Model!$B$15+W31*Model!$B$16+X31*Model!$B$17+Y31*Model!$B$18+Z31*Model!$B$19</f>
        <v>68.2</v>
      </c>
      <c r="AB31" s="105">
        <v>0.4</v>
      </c>
      <c r="AC31" s="105">
        <v>0.9</v>
      </c>
      <c r="AD31" s="106" t="str">
        <f>CONCATENATE("stat(bullet_velocity;",'5.8x42mm-ammo'!$AE31,";",'5.8x42mm-ammo'!$AF31,";",'5.8x42mm-ammo'!$AG31,";",'5.8x42mm-ammo'!$AH31,")")</f>
        <v>stat(bullet_velocity;0.5;0.8;1500;3000)</v>
      </c>
      <c r="AE31" s="107">
        <v>0.5</v>
      </c>
      <c r="AF31" s="107">
        <v>0.8</v>
      </c>
      <c r="AG31" s="108">
        <v>1500.0</v>
      </c>
      <c r="AH31" s="108">
        <v>3000.0</v>
      </c>
      <c r="AI31" s="109">
        <f>Model!$B$4+IF(I31="",0,I31)</f>
        <v>2500</v>
      </c>
      <c r="AJ31" s="69">
        <f t="shared" si="3"/>
        <v>0.7</v>
      </c>
      <c r="AK31" s="70" t="s">
        <v>88</v>
      </c>
      <c r="AL31" s="115" t="s">
        <v>89</v>
      </c>
      <c r="AM31" s="116">
        <f>C31*Model!$B$24+D31*Model!$B$25+E31*Model!$B$26+F31*Model!$B$27+G31*Model!$B$28+H31*Model!$B$29+I31*Model!$B$30+J31*Model!$B$31+L31*Model!$B$32</f>
        <v>-3.6</v>
      </c>
      <c r="AN31" s="116">
        <f>(AA31-Model!$B$5)*Model!$B$35</f>
        <v>-13.2</v>
      </c>
      <c r="AO31" s="116">
        <f>(Model!$B$6-AB31)*Model!$B$36</f>
        <v>-0.1</v>
      </c>
      <c r="AP31" s="116">
        <f>(AC31-Model!$B$7)*Model!$B$37</f>
        <v>1.2</v>
      </c>
      <c r="AQ31" s="116">
        <f>(AJ31-Model!$B$8)*Model!$B$38</f>
        <v>0.6</v>
      </c>
      <c r="AR31" s="116">
        <f t="shared" si="4"/>
        <v>-15.1</v>
      </c>
    </row>
    <row r="32" ht="14.25" customHeight="1">
      <c r="A32" s="38" t="s">
        <v>92</v>
      </c>
      <c r="B32" s="75" t="s">
        <v>112</v>
      </c>
      <c r="C32" s="93">
        <v>2.0</v>
      </c>
      <c r="D32" s="50">
        <v>0.18</v>
      </c>
      <c r="E32" s="94">
        <v>2.0</v>
      </c>
      <c r="F32" s="94">
        <v>2.0</v>
      </c>
      <c r="G32" s="95">
        <v>0.1</v>
      </c>
      <c r="H32" s="96"/>
      <c r="I32" s="94">
        <v>-100.0</v>
      </c>
      <c r="J32" s="97"/>
      <c r="K32" s="97"/>
      <c r="L32" s="98">
        <v>2000.0</v>
      </c>
      <c r="M32" s="99">
        <v>-0.04</v>
      </c>
      <c r="N32" s="100">
        <v>80.0</v>
      </c>
      <c r="O32" s="101">
        <v>80.0</v>
      </c>
      <c r="P32" s="102">
        <v>1.0</v>
      </c>
      <c r="Q32" s="75">
        <v>0.3</v>
      </c>
      <c r="R32" s="75">
        <v>0.5</v>
      </c>
      <c r="S32" s="103">
        <v>2.5</v>
      </c>
      <c r="T32" s="104">
        <f>MAX(MIN($M32*Model!$A$13+$N32,$O32)*$P32,0)</f>
        <v>79</v>
      </c>
      <c r="U32" s="104">
        <f>MAX(MIN($M32*Model!$A$14+$N32,$O32)*$P32,0)</f>
        <v>77</v>
      </c>
      <c r="V32" s="104">
        <f>MAX(MIN($M32*Model!$A$15+$N32,$O32)*$P32,0)</f>
        <v>74</v>
      </c>
      <c r="W32" s="104">
        <f>MAX(MIN($M32*Model!$A$16+$N32,$O32)*$P32,0)</f>
        <v>70</v>
      </c>
      <c r="X32" s="104">
        <f>MAX(MIN($M32*Model!$A$17+$N32,$O32)*$P32,0)</f>
        <v>65</v>
      </c>
      <c r="Y32" s="104">
        <f>MAX(MIN($M32*Model!$A$18+$N32,$O32)*$P32,0)</f>
        <v>64</v>
      </c>
      <c r="Z32" s="104">
        <f>MAX(MIN($M32*Model!$A$19+$N32,$O32)*$P32,0)</f>
        <v>60</v>
      </c>
      <c r="AA32" s="104">
        <f>T32*Model!$B$13+U32*Model!$B$14+V32*Model!$B$15+W32*Model!$B$16+X32*Model!$B$17+Y32*Model!$B$18+Z32*Model!$B$19</f>
        <v>73.6</v>
      </c>
      <c r="AB32" s="105">
        <v>0.3</v>
      </c>
      <c r="AC32" s="105">
        <v>0.95</v>
      </c>
      <c r="AD32" s="106" t="str">
        <f>CONCATENATE("stat(bullet_velocity;",'5.8x42mm-ammo'!$AE32,";",'5.8x42mm-ammo'!$AF32,";",'5.8x42mm-ammo'!$AG32,";",'5.8x42mm-ammo'!$AH32,")")</f>
        <v>stat(bullet_velocity;0.1;0.5;1500;3000)</v>
      </c>
      <c r="AE32" s="107">
        <v>0.1</v>
      </c>
      <c r="AF32" s="107">
        <v>0.5</v>
      </c>
      <c r="AG32" s="108">
        <v>1500.0</v>
      </c>
      <c r="AH32" s="108">
        <v>3000.0</v>
      </c>
      <c r="AI32" s="109">
        <f>Model!$B$4+IF(I32="",0,I32)</f>
        <v>2400</v>
      </c>
      <c r="AJ32" s="69">
        <f t="shared" si="3"/>
        <v>0.34</v>
      </c>
      <c r="AK32" s="70" t="s">
        <v>88</v>
      </c>
      <c r="AL32" s="110" t="s">
        <v>89</v>
      </c>
      <c r="AM32" s="111">
        <f>C32*Model!$B$24+D32*Model!$B$25+E32*Model!$B$26+F32*Model!$B$27+G32*Model!$B$28+H32*Model!$B$29+I32*Model!$B$30+J32*Model!$B$31+L32*Model!$B$32</f>
        <v>-6.9</v>
      </c>
      <c r="AN32" s="111">
        <f>(AA32-Model!$B$5)*Model!$B$35</f>
        <v>-5.1</v>
      </c>
      <c r="AO32" s="111">
        <f>(Model!$B$6-AB32)*Model!$B$36</f>
        <v>0.1</v>
      </c>
      <c r="AP32" s="111">
        <f>(AC32-Model!$B$7)*Model!$B$37</f>
        <v>1.35</v>
      </c>
      <c r="AQ32" s="111">
        <f>(AJ32-Model!$B$8)*Model!$B$38</f>
        <v>-0.84</v>
      </c>
      <c r="AR32" s="111">
        <f t="shared" si="4"/>
        <v>-11.39</v>
      </c>
    </row>
    <row r="33" ht="14.25" customHeight="1">
      <c r="A33" s="117"/>
      <c r="B33" s="118"/>
      <c r="C33" s="118"/>
      <c r="D33" s="118"/>
      <c r="E33" s="119"/>
      <c r="F33" s="119"/>
      <c r="G33" s="119"/>
      <c r="H33" s="120"/>
      <c r="I33" s="119"/>
      <c r="J33" s="120"/>
      <c r="K33" s="120"/>
      <c r="L33" s="119"/>
      <c r="M33" s="121"/>
      <c r="N33" s="121"/>
      <c r="O33" s="121"/>
      <c r="P33" s="122"/>
      <c r="Q33" s="118"/>
      <c r="R33" s="118"/>
      <c r="S33" s="123"/>
      <c r="T33" s="124"/>
      <c r="U33" s="124"/>
      <c r="V33" s="124"/>
      <c r="W33" s="124"/>
      <c r="X33" s="124"/>
      <c r="Y33" s="124"/>
      <c r="Z33" s="124"/>
      <c r="AA33" s="124"/>
      <c r="AB33" s="125"/>
      <c r="AC33" s="125"/>
      <c r="AD33" s="126"/>
      <c r="AE33" s="48" t="s">
        <v>113</v>
      </c>
      <c r="AF33" s="123"/>
      <c r="AG33" s="126"/>
      <c r="AH33" s="126"/>
      <c r="AI33" s="124"/>
      <c r="AJ33" s="124"/>
      <c r="AK33" s="124"/>
      <c r="AL33" s="127"/>
      <c r="AM33" s="128"/>
      <c r="AN33" s="128"/>
      <c r="AO33" s="128"/>
      <c r="AP33" s="128"/>
      <c r="AQ33" s="128"/>
      <c r="AR33" s="128"/>
    </row>
    <row r="34" ht="14.25" customHeight="1">
      <c r="B34" s="91"/>
      <c r="C34" s="91"/>
      <c r="D34" s="91"/>
      <c r="E34" s="91"/>
      <c r="F34" s="91"/>
      <c r="G34" s="91"/>
      <c r="H34" s="91"/>
      <c r="I34" s="91"/>
      <c r="J34" s="91"/>
      <c r="K34" s="91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7">
    <mergeCell ref="A1:L1"/>
    <mergeCell ref="M1:P1"/>
    <mergeCell ref="T1:AA1"/>
    <mergeCell ref="AB1:AH1"/>
    <mergeCell ref="AI1:AJ1"/>
    <mergeCell ref="AK1:AL1"/>
    <mergeCell ref="AM1:AR1"/>
  </mergeCells>
  <conditionalFormatting sqref="AR3:AR12 AR30:AR32">
    <cfRule type="colorScale" priority="1">
      <colorScale>
        <cfvo type="min"/>
        <cfvo type="percentile" val="50"/>
        <cfvo type="max"/>
        <color rgb="FFF8D7DA"/>
        <color rgb="FFFFF3CD"/>
        <color rgb="FFD1E7DD"/>
      </colorScale>
    </cfRule>
  </conditionalFormatting>
  <printOptions/>
  <pageMargins bottom="0.75" footer="0.0" header="0.0" left="0.7" right="0.7" top="0.75"/>
  <pageSetup orientation="landscape"/>
  <drawing r:id="rId4"/>
  <legacyDrawing r:id="rId5"/>
  <tableParts count="2"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0.0"/>
    <col customWidth="1" min="2" max="2" width="16.0"/>
    <col customWidth="1" min="3" max="3" width="42.0"/>
    <col customWidth="1" min="4" max="26" width="8.63"/>
  </cols>
  <sheetData>
    <row r="1" ht="31.5" customHeight="1">
      <c r="A1" s="1" t="s">
        <v>0</v>
      </c>
      <c r="B1" s="2"/>
      <c r="C1" s="3"/>
    </row>
    <row r="2" ht="14.25" customHeight="1">
      <c r="A2" s="4"/>
      <c r="B2" s="4"/>
      <c r="C2" s="4"/>
    </row>
    <row r="3" ht="14.25" customHeight="1">
      <c r="A3" s="5" t="s">
        <v>1</v>
      </c>
      <c r="B3" s="5" t="s">
        <v>2</v>
      </c>
      <c r="C3" s="5" t="s">
        <v>3</v>
      </c>
    </row>
    <row r="4" ht="14.25" customHeight="1">
      <c r="A4" s="6" t="s">
        <v>4</v>
      </c>
      <c r="B4" s="7">
        <v>2500.0</v>
      </c>
      <c r="C4" s="8" t="s">
        <v>5</v>
      </c>
    </row>
    <row r="5" ht="14.25" customHeight="1">
      <c r="A5" s="9" t="s">
        <v>6</v>
      </c>
      <c r="B5" s="10">
        <v>77.0</v>
      </c>
      <c r="C5" s="8" t="s">
        <v>8</v>
      </c>
    </row>
    <row r="6" ht="14.25" customHeight="1">
      <c r="A6" s="9" t="s">
        <v>9</v>
      </c>
      <c r="B6" s="12">
        <v>0.35</v>
      </c>
      <c r="C6" s="8" t="s">
        <v>11</v>
      </c>
    </row>
    <row r="7" ht="14.25" customHeight="1">
      <c r="A7" s="9" t="s">
        <v>12</v>
      </c>
      <c r="B7" s="10">
        <v>0.5</v>
      </c>
      <c r="C7" s="8" t="s">
        <v>13</v>
      </c>
    </row>
    <row r="8" ht="14.25" customHeight="1">
      <c r="A8" s="9" t="s">
        <v>14</v>
      </c>
      <c r="B8" s="10">
        <v>0.55</v>
      </c>
      <c r="C8" s="8" t="s">
        <v>13</v>
      </c>
    </row>
    <row r="9" ht="14.25" customHeight="1">
      <c r="A9" s="8"/>
      <c r="B9" s="8"/>
      <c r="C9" s="8"/>
    </row>
    <row r="10" ht="14.25" customHeight="1">
      <c r="A10" s="15" t="s">
        <v>15</v>
      </c>
      <c r="B10" s="16"/>
      <c r="C10" s="17"/>
    </row>
    <row r="11" ht="14.25" customHeight="1">
      <c r="A11" s="8"/>
      <c r="B11" s="8"/>
      <c r="C11" s="8"/>
    </row>
    <row r="12" ht="14.25" customHeight="1">
      <c r="A12" s="19" t="s">
        <v>17</v>
      </c>
      <c r="B12" s="19" t="s">
        <v>20</v>
      </c>
      <c r="C12" s="19" t="s">
        <v>21</v>
      </c>
    </row>
    <row r="13" ht="14.25" customHeight="1">
      <c r="A13" s="21">
        <v>25.0</v>
      </c>
      <c r="B13" s="23">
        <v>0.15</v>
      </c>
      <c r="C13" s="21" t="s">
        <v>24</v>
      </c>
    </row>
    <row r="14" ht="14.25" customHeight="1">
      <c r="A14" s="21">
        <v>75.0</v>
      </c>
      <c r="B14" s="23">
        <v>0.25</v>
      </c>
      <c r="C14" s="21" t="s">
        <v>24</v>
      </c>
    </row>
    <row r="15" ht="14.25" customHeight="1">
      <c r="A15" s="21">
        <v>150.0</v>
      </c>
      <c r="B15" s="23">
        <v>0.25</v>
      </c>
      <c r="C15" s="21" t="s">
        <v>25</v>
      </c>
    </row>
    <row r="16" ht="14.25" customHeight="1">
      <c r="A16" s="21">
        <v>250.0</v>
      </c>
      <c r="B16" s="23">
        <v>0.25</v>
      </c>
      <c r="C16" s="21" t="s">
        <v>26</v>
      </c>
    </row>
    <row r="17" ht="14.25" customHeight="1">
      <c r="A17" s="21">
        <v>375.0</v>
      </c>
      <c r="B17" s="23">
        <v>0.1</v>
      </c>
      <c r="C17" s="21" t="s">
        <v>27</v>
      </c>
    </row>
    <row r="18" ht="14.25" customHeight="1">
      <c r="A18" s="21">
        <v>400.0</v>
      </c>
      <c r="B18" s="25">
        <v>0.0</v>
      </c>
      <c r="C18" s="21" t="s">
        <v>29</v>
      </c>
    </row>
    <row r="19" ht="14.25" customHeight="1">
      <c r="A19" s="21">
        <v>500.0</v>
      </c>
      <c r="B19" s="23">
        <v>0.0</v>
      </c>
      <c r="C19" s="21" t="s">
        <v>30</v>
      </c>
    </row>
    <row r="20" ht="14.25" customHeight="1">
      <c r="A20" s="21" t="s">
        <v>31</v>
      </c>
      <c r="B20" s="25">
        <f>SUM(B13:B19)</f>
        <v>1</v>
      </c>
      <c r="C20" s="21"/>
    </row>
    <row r="21" ht="14.25" customHeight="1">
      <c r="A21" s="8"/>
      <c r="B21" s="8"/>
      <c r="C21" s="8"/>
    </row>
    <row r="22" ht="14.25" customHeight="1">
      <c r="A22" s="15" t="s">
        <v>43</v>
      </c>
      <c r="B22" s="16"/>
      <c r="C22" s="17"/>
    </row>
    <row r="23" ht="14.25" customHeight="1">
      <c r="A23" s="19" t="s">
        <v>45</v>
      </c>
      <c r="B23" s="19" t="s">
        <v>20</v>
      </c>
      <c r="C23" s="19" t="s">
        <v>46</v>
      </c>
    </row>
    <row r="24" ht="14.25" customHeight="1">
      <c r="A24" s="21" t="s">
        <v>33</v>
      </c>
      <c r="B24" s="29">
        <v>1.0</v>
      </c>
      <c r="C24" s="21" t="s">
        <v>13</v>
      </c>
    </row>
    <row r="25" ht="14.25" customHeight="1">
      <c r="A25" s="21" t="s">
        <v>34</v>
      </c>
      <c r="B25" s="29">
        <v>-20.0</v>
      </c>
      <c r="C25" s="21" t="s">
        <v>11</v>
      </c>
    </row>
    <row r="26" ht="14.25" customHeight="1">
      <c r="A26" s="21" t="s">
        <v>35</v>
      </c>
      <c r="B26" s="29">
        <v>-0.8</v>
      </c>
      <c r="C26" s="21" t="s">
        <v>11</v>
      </c>
    </row>
    <row r="27" ht="14.25" customHeight="1">
      <c r="A27" s="21" t="s">
        <v>36</v>
      </c>
      <c r="B27" s="29">
        <v>-0.6</v>
      </c>
      <c r="C27" s="21" t="s">
        <v>11</v>
      </c>
    </row>
    <row r="28" ht="14.25" customHeight="1">
      <c r="A28" s="21" t="s">
        <v>37</v>
      </c>
      <c r="B28" s="30">
        <v>-20.0</v>
      </c>
      <c r="C28" s="21" t="s">
        <v>11</v>
      </c>
    </row>
    <row r="29" ht="14.25" customHeight="1">
      <c r="A29" s="21" t="s">
        <v>38</v>
      </c>
      <c r="B29" s="29">
        <v>10.0</v>
      </c>
      <c r="C29" s="21" t="s">
        <v>53</v>
      </c>
    </row>
    <row r="30" ht="14.25" customHeight="1">
      <c r="A30" s="21" t="s">
        <v>39</v>
      </c>
      <c r="B30" s="31">
        <v>0.005</v>
      </c>
      <c r="C30" s="21" t="str">
        <f>CONCAT("1 point per +", 1/B30)</f>
        <v>1 point per +200</v>
      </c>
    </row>
    <row r="31" ht="14.25" customHeight="1">
      <c r="A31" s="21" t="s">
        <v>40</v>
      </c>
      <c r="B31" s="29">
        <v>10.0</v>
      </c>
      <c r="C31" s="21" t="s">
        <v>53</v>
      </c>
    </row>
    <row r="32" ht="14.25" customHeight="1">
      <c r="A32" s="21" t="s">
        <v>42</v>
      </c>
      <c r="B32" s="29">
        <v>0.0</v>
      </c>
      <c r="C32" s="21" t="s">
        <v>54</v>
      </c>
    </row>
    <row r="33" ht="14.25" customHeight="1">
      <c r="A33" s="32" t="s">
        <v>55</v>
      </c>
      <c r="B33" s="33">
        <v>-10.0</v>
      </c>
      <c r="C33" s="32" t="s">
        <v>62</v>
      </c>
    </row>
    <row r="34" ht="14.25" customHeight="1">
      <c r="A34" s="15" t="s">
        <v>64</v>
      </c>
      <c r="B34" s="16"/>
      <c r="C34" s="17"/>
    </row>
    <row r="35" ht="14.25" customHeight="1">
      <c r="A35" s="34" t="s">
        <v>65</v>
      </c>
      <c r="B35" s="35">
        <v>1.5</v>
      </c>
      <c r="C35" s="34" t="s">
        <v>74</v>
      </c>
    </row>
    <row r="36" ht="14.25" customHeight="1">
      <c r="A36" s="34" t="s">
        <v>66</v>
      </c>
      <c r="B36" s="35">
        <v>2.0</v>
      </c>
      <c r="C36" s="34" t="s">
        <v>75</v>
      </c>
    </row>
    <row r="37" ht="14.25" customHeight="1">
      <c r="A37" s="34" t="s">
        <v>67</v>
      </c>
      <c r="B37" s="35">
        <v>3.0</v>
      </c>
      <c r="C37" s="34" t="s">
        <v>76</v>
      </c>
    </row>
    <row r="38" ht="14.25" customHeight="1">
      <c r="A38" s="36" t="s">
        <v>77</v>
      </c>
      <c r="B38" s="37">
        <v>4.0</v>
      </c>
      <c r="C38" s="36" t="s">
        <v>76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C1"/>
    <mergeCell ref="A10:C10"/>
    <mergeCell ref="A22:C22"/>
    <mergeCell ref="A34:C34"/>
  </mergeCells>
  <printOptions/>
  <pageMargins bottom="0.75" footer="0.0" header="0.0" left="0.7" right="0.7" top="0.75"/>
  <pageSetup orientation="landscape"/>
  <drawing r:id="rId4"/>
  <legacyDrawing r:id="rId5"/>
</worksheet>
</file>