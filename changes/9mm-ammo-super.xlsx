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545-ammo" sheetId="1" r:id="rId5"/>
    <sheet state="visible" name="Model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formula: MAX(MIN(a × distance + b, c) × d, 0). Distances and weights are on the Model sheet.</t>
      </text>
    </comment>
    <comment authorId="0" ref="AJ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Linearly interpolates effective velocity between pen_low/pen_high and clamps to those endpoints.</t>
      </text>
    </comment>
    <comment authorId="0" ref="M2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Direct values from calibers.csv. Edit these cells on this sheet to tune the ammo model.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Damage distance weights should total 100%.</t>
      </text>
    </comment>
  </commentList>
</comments>
</file>

<file path=xl/sharedStrings.xml><?xml version="1.0" encoding="utf-8"?>
<sst xmlns="http://schemas.openxmlformats.org/spreadsheetml/2006/main" count="141" uniqueCount="107">
  <si>
    <t>9x19 ammo scoring model</t>
  </si>
  <si>
    <t>Assumption</t>
  </si>
  <si>
    <t>Value</t>
  </si>
  <si>
    <t>Purpose</t>
  </si>
  <si>
    <t>glock base</t>
  </si>
  <si>
    <t>studs/s; add bullet_velocity modifier</t>
  </si>
  <si>
    <t>Damage reference</t>
  </si>
  <si>
    <t>weighted damage scores above/below this</t>
  </si>
  <si>
    <t>Velocity-drop reference</t>
  </si>
  <si>
    <t>lower is better</t>
  </si>
  <si>
    <t>balancing.csv inputs</t>
  </si>
  <si>
    <t>Suppression reference</t>
  </si>
  <si>
    <t>higher is better</t>
  </si>
  <si>
    <t>Penetration reference</t>
  </si>
  <si>
    <t>Damage distance weights</t>
  </si>
  <si>
    <t>calibers.csv damage inputs</t>
  </si>
  <si>
    <t>Distance (studs)</t>
  </si>
  <si>
    <t>Weight</t>
  </si>
  <si>
    <t>Rationale</t>
  </si>
  <si>
    <t>close</t>
  </si>
  <si>
    <t>calculated torso damage by range</t>
  </si>
  <si>
    <t>common</t>
  </si>
  <si>
    <t>medium</t>
  </si>
  <si>
    <t>calibers.csv traits &amp; penetration inputs</t>
  </si>
  <si>
    <t>long</t>
  </si>
  <si>
    <t>very long</t>
  </si>
  <si>
    <t>penetration model</t>
  </si>
  <si>
    <t>upper edge</t>
  </si>
  <si>
    <t>Weight check</t>
  </si>
  <si>
    <t>source audit</t>
  </si>
  <si>
    <t>weighted score</t>
  </si>
  <si>
    <t>name</t>
  </si>
  <si>
    <t>balancing.csv stat weights</t>
  </si>
  <si>
    <t>Stat</t>
  </si>
  <si>
    <t>Interpretation</t>
  </si>
  <si>
    <t>ergonomics</t>
  </si>
  <si>
    <t>weight</t>
  </si>
  <si>
    <t>pretty_name</t>
  </si>
  <si>
    <t>horizontal_recoil</t>
  </si>
  <si>
    <t>vertical_recoil</t>
  </si>
  <si>
    <t>barrel_deviation</t>
  </si>
  <si>
    <t>bullet_damage</t>
  </si>
  <si>
    <t>fractional modifier</t>
  </si>
  <si>
    <t>bullet_velocity</t>
  </si>
  <si>
    <t>fire_rate</t>
  </si>
  <si>
    <t>muzzle_loudness</t>
  </si>
  <si>
    <t>price</t>
  </si>
  <si>
    <t>excluded from performance strength</t>
  </si>
  <si>
    <t>Ammo-specific metric weights</t>
  </si>
  <si>
    <t>damage_torso_a</t>
  </si>
  <si>
    <t>weighted_damage</t>
  </si>
  <si>
    <t>damage_torso_b</t>
  </si>
  <si>
    <t>damage_torso_c</t>
  </si>
  <si>
    <t>points per damage above reference</t>
  </si>
  <si>
    <t>velocity_drop</t>
  </si>
  <si>
    <t>damage_torso_d</t>
  </si>
  <si>
    <t>small effect; lower is better</t>
  </si>
  <si>
    <t>suppression</t>
  </si>
  <si>
    <t>damage_arm_d</t>
  </si>
  <si>
    <t>moderate effect; higher is better</t>
  </si>
  <si>
    <t>damage_leg_d</t>
  </si>
  <si>
    <t>penetration</t>
  </si>
  <si>
    <t>damage_head_d</t>
  </si>
  <si>
    <t>damage_25</t>
  </si>
  <si>
    <t>damage_75</t>
  </si>
  <si>
    <t>damage_150</t>
  </si>
  <si>
    <t>damage_250</t>
  </si>
  <si>
    <t>damage_375</t>
  </si>
  <si>
    <t>damage_400</t>
  </si>
  <si>
    <t>damage_500</t>
  </si>
  <si>
    <t>bullet_penetration_ability</t>
  </si>
  <si>
    <t>pen_low</t>
  </si>
  <si>
    <t>pen_high</t>
  </si>
  <si>
    <t>pen_velocity_low</t>
  </si>
  <si>
    <t>pen_velocity_high</t>
  </si>
  <si>
    <t>effective_velocity</t>
  </si>
  <si>
    <t>calibers_row</t>
  </si>
  <si>
    <t>source_file</t>
  </si>
  <si>
    <t>balance_score</t>
  </si>
  <si>
    <t>damage_score</t>
  </si>
  <si>
    <t>velocity_drop_score</t>
  </si>
  <si>
    <t>suppression_score</t>
  </si>
  <si>
    <t>penetration_score</t>
  </si>
  <si>
    <t>strength</t>
  </si>
  <si>
    <t>9x19_roosevelt_umc_115gr_fmj</t>
  </si>
  <si>
    <t xml:space="preserve">Roosevelt UMC 115gr FMJ </t>
  </si>
  <si>
    <t>calibers.csv</t>
  </si>
  <si>
    <t>9x19_pulsar_119gr_green_tracer</t>
  </si>
  <si>
    <t>Pulsar 119gr Green Tracer</t>
  </si>
  <si>
    <t>9x19_btv_scorpio_nato_115gr_fmj</t>
  </si>
  <si>
    <t>BVT Scorpio NATO 115gr FMJ +P</t>
  </si>
  <si>
    <t>9x19_appalachian_m882_124gr_fmj</t>
  </si>
  <si>
    <t>Appalachian M882 124gr FMJ +P</t>
  </si>
  <si>
    <t>9x19_appalachian_m1152_115gr_fmjfn</t>
  </si>
  <si>
    <t>Appalachian M1152 115gr FMJ-FN +P+</t>
  </si>
  <si>
    <t>9x19_appalachian_xm1153_147gr_jhp</t>
  </si>
  <si>
    <t>Appalachian XM1153 147gr JHP</t>
  </si>
  <si>
    <t>9x19_appalachian_mk254_mod0_90gr_frangible</t>
  </si>
  <si>
    <t>Appalachian Mk.254 Mod0 90gr Frangible</t>
  </si>
  <si>
    <t>9x19_zfm_luger_154gr_fmjfp_subsonic</t>
  </si>
  <si>
    <t>ZFM Luger 154gr FMJ-FP Subsonic</t>
  </si>
  <si>
    <t>9x19_s2_research_9mm_rip_92gr_fhp</t>
  </si>
  <si>
    <t>S2 Research RIP 92gr FHP</t>
  </si>
  <si>
    <t>9x19_novosibirsk_7n21_80gr_pst</t>
  </si>
  <si>
    <t>Novosibirsk 7N21 80gr PST</t>
  </si>
  <si>
    <t>9x19_kazarov_7n31_pbp_gzh_64gr</t>
  </si>
  <si>
    <t>Kazarov 7N31 PBP gzh 64gr +P+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</si>
</sst>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%"/>
    <numFmt numFmtId="165" formatCode="0.000"/>
    <numFmt numFmtId="166" formatCode="0.0000"/>
  </numFmts>
  <fonts count="10">
    <font>
      <sz val="11.0"/>
      <color rgb="FF000000"/>
      <name val="Carlito"/>
      <scheme val="minor"/>
    </font>
    <font>
      <b/>
      <sz val="16.0"/>
      <color rgb="FFFFFFFF"/>
      <name val="Play"/>
    </font>
    <font/>
    <font>
      <sz val="10.0"/>
      <color rgb="FF1F2933"/>
      <name val="Aptos"/>
    </font>
    <font>
      <b/>
      <sz val="10.0"/>
      <color rgb="FFFFFFFF"/>
      <name val="Aptos"/>
    </font>
    <font>
      <sz val="10.0"/>
      <color rgb="FF1F2933"/>
      <name val="Arial"/>
    </font>
    <font>
      <b/>
      <sz val="9.0"/>
      <color rgb="FFFFFFFF"/>
      <name val="Aptos"/>
    </font>
    <font>
      <b/>
      <sz val="9.0"/>
      <color rgb="FFFFFFFF"/>
      <name val="Arial"/>
    </font>
    <font>
      <sz val="9.0"/>
      <color rgb="FF1F2933"/>
      <name val="Aptos"/>
    </font>
    <font>
      <sz val="9.0"/>
      <color rgb="FF1F2933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2F6B9A"/>
        <bgColor rgb="FF2F6B9A"/>
      </patternFill>
    </fill>
    <fill>
      <patternFill patternType="solid">
        <fgColor rgb="FFEAF3F8"/>
        <bgColor rgb="FFEAF3F8"/>
      </patternFill>
    </fill>
    <fill>
      <patternFill patternType="solid">
        <fgColor rgb="FF684A86"/>
        <bgColor rgb="FF684A86"/>
      </patternFill>
    </fill>
    <fill>
      <patternFill patternType="solid">
        <fgColor rgb="FF385B47"/>
        <bgColor rgb="FF385B47"/>
      </patternFill>
    </fill>
    <fill>
      <patternFill patternType="solid">
        <fgColor rgb="FFF5F7F9"/>
        <bgColor rgb="FFF5F7F9"/>
      </patternFill>
    </fill>
    <fill>
      <patternFill patternType="solid">
        <fgColor rgb="FF9A642D"/>
        <bgColor rgb="FF9A642D"/>
      </patternFill>
    </fill>
    <fill>
      <patternFill patternType="solid">
        <fgColor rgb="FF2C6E73"/>
        <bgColor rgb="FF2C6E73"/>
      </patternFill>
    </fill>
    <fill>
      <patternFill patternType="solid">
        <fgColor rgb="FF52616B"/>
        <bgColor rgb="FF52616B"/>
      </patternFill>
    </fill>
    <fill>
      <patternFill patternType="solid">
        <fgColor rgb="FFF1ECF7"/>
        <bgColor rgb="FFF1ECF7"/>
      </patternFill>
    </fill>
    <fill>
      <patternFill patternType="solid">
        <fgColor rgb="FFFFF5D9"/>
        <bgColor rgb="FFFFF5D9"/>
      </patternFill>
    </fill>
    <fill>
      <patternFill patternType="solid">
        <fgColor rgb="FFEDF7EE"/>
        <bgColor rgb="FFEDF7EE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D8E0E7"/>
      </bottom>
    </border>
    <border>
      <left/>
      <right/>
      <top style="thin">
        <color rgb="FFD8E0E7"/>
      </top>
      <bottom style="thin">
        <color rgb="FFD8E0E7"/>
      </bottom>
    </border>
    <border>
      <top style="thin">
        <color rgb="FFD8E0E7"/>
      </top>
      <bottom style="thin">
        <color rgb="FFD8E0E7"/>
      </bottom>
    </border>
    <border>
      <left/>
      <top style="thin">
        <color rgb="FFD8E0E7"/>
      </top>
      <bottom style="thin">
        <color rgb="FFD8E0E7"/>
      </bottom>
    </border>
    <border>
      <right/>
      <top style="thin">
        <color rgb="FFD8E0E7"/>
      </top>
      <bottom style="thin">
        <color rgb="FFD8E0E7"/>
      </bottom>
    </border>
    <border>
      <left/>
      <right/>
      <top/>
      <bottom/>
    </border>
    <border>
      <left/>
      <right/>
      <top style="thin">
        <color rgb="FFD8E0E7"/>
      </top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4" fillId="3" fontId="4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readingOrder="0"/>
    </xf>
    <xf borderId="5" fillId="4" fontId="5" numFmtId="3" xfId="0" applyAlignment="1" applyBorder="1" applyFont="1" applyNumberFormat="1">
      <alignment readingOrder="0"/>
    </xf>
    <xf borderId="6" fillId="0" fontId="3" numFmtId="0" xfId="0" applyBorder="1" applyFont="1"/>
    <xf borderId="5" fillId="4" fontId="3" numFmtId="0" xfId="0" applyBorder="1" applyFont="1"/>
    <xf borderId="5" fillId="4" fontId="5" numFmtId="2" xfId="0" applyAlignment="1" applyBorder="1" applyFont="1" applyNumberFormat="1">
      <alignment readingOrder="0"/>
    </xf>
    <xf borderId="5" fillId="4" fontId="3" numFmtId="2" xfId="0" applyBorder="1" applyFont="1" applyNumberFormat="1"/>
    <xf borderId="1" fillId="3" fontId="4" numFmtId="0" xfId="0" applyAlignment="1" applyBorder="1" applyFont="1">
      <alignment horizontal="center" vertical="center"/>
    </xf>
    <xf borderId="7" fillId="5" fontId="4" numFmtId="0" xfId="0" applyBorder="1" applyFill="1" applyFont="1"/>
    <xf borderId="6" fillId="0" fontId="2" numFmtId="0" xfId="0" applyBorder="1" applyFont="1"/>
    <xf borderId="8" fillId="0" fontId="2" numFmtId="0" xfId="0" applyBorder="1" applyFont="1"/>
    <xf borderId="1" fillId="6" fontId="4" numFmtId="0" xfId="0" applyAlignment="1" applyBorder="1" applyFill="1" applyFont="1">
      <alignment horizontal="center" vertical="center"/>
    </xf>
    <xf borderId="5" fillId="3" fontId="4" numFmtId="0" xfId="0" applyAlignment="1" applyBorder="1" applyFont="1">
      <alignment horizontal="center"/>
    </xf>
    <xf borderId="9" fillId="6" fontId="4" numFmtId="0" xfId="0" applyAlignment="1" applyBorder="1" applyFont="1">
      <alignment horizontal="center" vertical="center"/>
    </xf>
    <xf borderId="5" fillId="7" fontId="3" numFmtId="0" xfId="0" applyBorder="1" applyFill="1" applyFont="1"/>
    <xf borderId="5" fillId="7" fontId="5" numFmtId="164" xfId="0" applyAlignment="1" applyBorder="1" applyFont="1" applyNumberFormat="1">
      <alignment readingOrder="0"/>
    </xf>
    <xf borderId="1" fillId="8" fontId="4" numFmtId="0" xfId="0" applyAlignment="1" applyBorder="1" applyFill="1" applyFont="1">
      <alignment horizontal="center" vertical="center"/>
    </xf>
    <xf borderId="5" fillId="7" fontId="5" numFmtId="0" xfId="0" applyAlignment="1" applyBorder="1" applyFont="1">
      <alignment readingOrder="0"/>
    </xf>
    <xf borderId="5" fillId="7" fontId="3" numFmtId="164" xfId="0" applyBorder="1" applyFont="1" applyNumberFormat="1"/>
    <xf borderId="1" fillId="9" fontId="4" numFmtId="0" xfId="0" applyAlignment="1" applyBorder="1" applyFill="1" applyFont="1">
      <alignment horizontal="center" vertical="center"/>
    </xf>
    <xf borderId="1" fillId="10" fontId="4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horizontal="center" vertical="center"/>
    </xf>
    <xf borderId="5" fillId="7" fontId="3" numFmtId="165" xfId="0" applyBorder="1" applyFont="1" applyNumberFormat="1"/>
    <xf borderId="4" fillId="2" fontId="6" numFmtId="0" xfId="0" applyAlignment="1" applyBorder="1" applyFont="1">
      <alignment horizontal="center" readingOrder="0" shrinkToFit="0" vertical="center" wrapText="1"/>
    </xf>
    <xf borderId="5" fillId="7" fontId="3" numFmtId="166" xfId="0" applyBorder="1" applyFont="1" applyNumberFormat="1"/>
    <xf borderId="5" fillId="7" fontId="5" numFmtId="165" xfId="0" applyAlignment="1" applyBorder="1" applyFont="1" applyNumberFormat="1">
      <alignment readingOrder="0"/>
    </xf>
    <xf borderId="4" fillId="2" fontId="7" numFmtId="49" xfId="0" applyAlignment="1" applyBorder="1" applyFont="1" applyNumberFormat="1">
      <alignment horizontal="center" readingOrder="0" shrinkToFit="0" vertical="center" wrapText="1"/>
    </xf>
    <xf borderId="6" fillId="0" fontId="3" numFmtId="165" xfId="0" applyBorder="1" applyFont="1" applyNumberFormat="1"/>
    <xf borderId="5" fillId="11" fontId="3" numFmtId="0" xfId="0" applyBorder="1" applyFill="1" applyFont="1"/>
    <xf borderId="5" fillId="11" fontId="3" numFmtId="165" xfId="0" applyBorder="1" applyFont="1" applyNumberFormat="1"/>
    <xf borderId="10" fillId="11" fontId="3" numFmtId="0" xfId="0" applyBorder="1" applyFont="1"/>
    <xf borderId="10" fillId="11" fontId="3" numFmtId="165" xfId="0" applyBorder="1" applyFont="1" applyNumberFormat="1"/>
    <xf borderId="5" fillId="4" fontId="8" numFmtId="0" xfId="0" applyAlignment="1" applyBorder="1" applyFont="1">
      <alignment horizontal="left" shrinkToFit="0" vertical="center" wrapText="0"/>
    </xf>
    <xf borderId="5" fillId="4" fontId="8" numFmtId="1" xfId="0" applyAlignment="1" applyBorder="1" applyFont="1" applyNumberFormat="1">
      <alignment horizontal="right" shrinkToFit="0" vertical="center" wrapText="0"/>
    </xf>
    <xf borderId="5" fillId="4" fontId="9" numFmtId="2" xfId="0" applyAlignment="1" applyBorder="1" applyFont="1" applyNumberFormat="1">
      <alignment horizontal="right" readingOrder="0" shrinkToFit="0" vertical="center" wrapText="0"/>
    </xf>
    <xf borderId="5" fillId="4" fontId="8" numFmtId="2" xfId="0" applyAlignment="1" applyBorder="1" applyFont="1" applyNumberFormat="1">
      <alignment horizontal="right" shrinkToFit="0" vertical="center" wrapText="0"/>
    </xf>
    <xf borderId="5" fillId="4" fontId="8" numFmtId="165" xfId="0" applyAlignment="1" applyBorder="1" applyFont="1" applyNumberFormat="1">
      <alignment horizontal="right" shrinkToFit="0" vertical="center" wrapText="0"/>
    </xf>
    <xf borderId="5" fillId="4" fontId="8" numFmtId="0" xfId="0" applyAlignment="1" applyBorder="1" applyFont="1">
      <alignment horizontal="right" shrinkToFit="0" vertical="center" wrapText="0"/>
    </xf>
    <xf borderId="5" fillId="12" fontId="8" numFmtId="0" xfId="0" applyAlignment="1" applyBorder="1" applyFill="1" applyFont="1">
      <alignment horizontal="right" readingOrder="0" shrinkToFit="0" vertical="center" wrapText="0"/>
    </xf>
    <xf borderId="5" fillId="12" fontId="8" numFmtId="0" xfId="0" applyAlignment="1" applyBorder="1" applyFont="1">
      <alignment horizontal="right" shrinkToFit="0" vertical="center" wrapText="0"/>
    </xf>
    <xf borderId="5" fillId="12" fontId="9" numFmtId="0" xfId="0" applyAlignment="1" applyBorder="1" applyFont="1">
      <alignment horizontal="right" readingOrder="0" shrinkToFit="0" vertical="center" wrapText="0"/>
    </xf>
    <xf borderId="5" fillId="13" fontId="8" numFmtId="2" xfId="0" applyAlignment="1" applyBorder="1" applyFill="1" applyFont="1" applyNumberFormat="1">
      <alignment horizontal="right" shrinkToFit="0" vertical="center" wrapText="0"/>
    </xf>
    <xf borderId="5" fillId="12" fontId="9" numFmtId="2" xfId="0" applyAlignment="1" applyBorder="1" applyFont="1" applyNumberFormat="1">
      <alignment horizontal="right" readingOrder="0" shrinkToFit="0" vertical="center" wrapText="0"/>
    </xf>
    <xf borderId="5" fillId="12" fontId="8" numFmtId="2" xfId="0" applyAlignment="1" applyBorder="1" applyFont="1" applyNumberFormat="1">
      <alignment horizontal="right" shrinkToFit="0" vertical="center" wrapText="0"/>
    </xf>
    <xf borderId="5" fillId="12" fontId="9" numFmtId="3" xfId="0" applyAlignment="1" applyBorder="1" applyFont="1" applyNumberFormat="1">
      <alignment horizontal="right" readingOrder="0" shrinkToFit="0" vertical="center" wrapText="0"/>
    </xf>
    <xf borderId="5" fillId="13" fontId="8" numFmtId="3" xfId="0" applyAlignment="1" applyBorder="1" applyFont="1" applyNumberFormat="1">
      <alignment horizontal="right" shrinkToFit="0" vertical="center" wrapText="0"/>
    </xf>
    <xf borderId="5" fillId="7" fontId="9" numFmtId="1" xfId="0" applyAlignment="1" applyBorder="1" applyFont="1" applyNumberFormat="1">
      <alignment horizontal="right" readingOrder="0" shrinkToFit="0" vertical="center" wrapText="0"/>
    </xf>
    <xf borderId="5" fillId="7" fontId="8" numFmtId="0" xfId="0" applyAlignment="1" applyBorder="1" applyFont="1">
      <alignment horizontal="right" shrinkToFit="0" vertical="center" wrapText="0"/>
    </xf>
    <xf borderId="5" fillId="11" fontId="8" numFmtId="2" xfId="0" applyAlignment="1" applyBorder="1" applyFont="1" applyNumberFormat="1">
      <alignment horizontal="right" shrinkToFit="0" vertical="center" wrapText="0"/>
    </xf>
    <xf borderId="5" fillId="4" fontId="9" numFmtId="1" xfId="0" applyAlignment="1" applyBorder="1" applyFont="1" applyNumberFormat="1">
      <alignment horizontal="right" readingOrder="0" shrinkToFit="0" vertical="center" wrapText="0"/>
    </xf>
    <xf borderId="5" fillId="4" fontId="9" numFmtId="0" xfId="0" applyAlignment="1" applyBorder="1" applyFont="1">
      <alignment horizontal="right" readingOrder="0" shrinkToFit="0" vertical="center" wrapText="0"/>
    </xf>
    <xf borderId="10" fillId="4" fontId="8" numFmtId="0" xfId="0" applyAlignment="1" applyBorder="1" applyFont="1">
      <alignment horizontal="left" shrinkToFit="0" vertical="center" wrapText="0"/>
    </xf>
    <xf borderId="10" fillId="4" fontId="9" numFmtId="1" xfId="0" applyAlignment="1" applyBorder="1" applyFont="1" applyNumberFormat="1">
      <alignment horizontal="right" readingOrder="0" shrinkToFit="0" vertical="center" wrapText="0"/>
    </xf>
    <xf borderId="10" fillId="4" fontId="9" numFmtId="2" xfId="0" applyAlignment="1" applyBorder="1" applyFont="1" applyNumberFormat="1">
      <alignment horizontal="right" readingOrder="0" shrinkToFit="0" vertical="center" wrapText="0"/>
    </xf>
    <xf borderId="10" fillId="4" fontId="8" numFmtId="1" xfId="0" applyAlignment="1" applyBorder="1" applyFont="1" applyNumberFormat="1">
      <alignment horizontal="right" shrinkToFit="0" vertical="center" wrapText="0"/>
    </xf>
    <xf borderId="10" fillId="4" fontId="8" numFmtId="2" xfId="0" applyAlignment="1" applyBorder="1" applyFont="1" applyNumberFormat="1">
      <alignment horizontal="right" shrinkToFit="0" vertical="center" wrapText="0"/>
    </xf>
    <xf borderId="10" fillId="4" fontId="8" numFmtId="165" xfId="0" applyAlignment="1" applyBorder="1" applyFont="1" applyNumberFormat="1">
      <alignment horizontal="right" shrinkToFit="0" vertical="center" wrapText="0"/>
    </xf>
    <xf borderId="10" fillId="4" fontId="8" numFmtId="0" xfId="0" applyAlignment="1" applyBorder="1" applyFont="1">
      <alignment horizontal="right" shrinkToFit="0" vertical="center" wrapText="0"/>
    </xf>
    <xf borderId="10" fillId="4" fontId="9" numFmtId="0" xfId="0" applyAlignment="1" applyBorder="1" applyFont="1">
      <alignment horizontal="right" readingOrder="0" shrinkToFit="0" vertical="center" wrapText="0"/>
    </xf>
    <xf borderId="10" fillId="12" fontId="8" numFmtId="0" xfId="0" applyAlignment="1" applyBorder="1" applyFont="1">
      <alignment horizontal="right" readingOrder="0" shrinkToFit="0" vertical="center" wrapText="0"/>
    </xf>
    <xf borderId="10" fillId="13" fontId="8" numFmtId="2" xfId="0" applyAlignment="1" applyBorder="1" applyFont="1" applyNumberFormat="1">
      <alignment horizontal="right" shrinkToFit="0" vertical="center" wrapText="0"/>
    </xf>
    <xf borderId="10" fillId="12" fontId="9" numFmtId="2" xfId="0" applyAlignment="1" applyBorder="1" applyFont="1" applyNumberFormat="1">
      <alignment horizontal="right" readingOrder="0" shrinkToFit="0" vertical="center" wrapText="0"/>
    </xf>
    <xf borderId="10" fillId="13" fontId="8" numFmtId="3" xfId="0" applyAlignment="1" applyBorder="1" applyFont="1" applyNumberFormat="1">
      <alignment horizontal="right" shrinkToFit="0" vertical="center" wrapText="0"/>
    </xf>
    <xf borderId="10" fillId="7" fontId="9" numFmtId="1" xfId="0" applyAlignment="1" applyBorder="1" applyFont="1" applyNumberFormat="1">
      <alignment horizontal="right" readingOrder="0" shrinkToFit="0" vertical="center" wrapText="0"/>
    </xf>
    <xf borderId="10" fillId="7" fontId="8" numFmtId="0" xfId="0" applyAlignment="1" applyBorder="1" applyFont="1">
      <alignment horizontal="right" shrinkToFit="0" vertical="center" wrapText="0"/>
    </xf>
    <xf borderId="10" fillId="11" fontId="8" numFmtId="2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545-amm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AR13" displayName="AmmoChangeSheet" name="AmmoChangeSheet" id="1">
  <tableColumns count="44">
    <tableColumn name="name" id="1"/>
    <tableColumn name="pretty_name" id="2"/>
    <tableColumn name="ergonomics" id="3"/>
    <tableColumn name="weight" id="4"/>
    <tableColumn name="horizontal_recoil" id="5"/>
    <tableColumn name="vertical_recoil" id="6"/>
    <tableColumn name="barrel_deviation" id="7"/>
    <tableColumn name="bullet_damage" id="8"/>
    <tableColumn name="bullet_velocity" id="9"/>
    <tableColumn name="fire_rate" id="10"/>
    <tableColumn name="muzzle_loudness" id="11"/>
    <tableColumn name="price" id="12"/>
    <tableColumn name="damage_torso_a" id="13"/>
    <tableColumn name="damage_torso_b" id="14"/>
    <tableColumn name="damage_torso_c" id="15"/>
    <tableColumn name="damage_torso_d" id="16"/>
    <tableColumn name="damage_arm_d" id="17"/>
    <tableColumn name="damage_leg_d" id="18"/>
    <tableColumn name="damage_head_d" id="19"/>
    <tableColumn name="damage_25" id="20"/>
    <tableColumn name="damage_75" id="21"/>
    <tableColumn name="damage_150" id="22"/>
    <tableColumn name="damage_250" id="23"/>
    <tableColumn name="damage_375" id="24"/>
    <tableColumn name="damage_400" id="25"/>
    <tableColumn name="damage_500" id="26"/>
    <tableColumn name="weighted_damage" id="27"/>
    <tableColumn name="velocity_drop" id="28"/>
    <tableColumn name="suppression" id="29"/>
    <tableColumn name="bullet_penetration_ability" id="30"/>
    <tableColumn name="pen_low" id="31"/>
    <tableColumn name="pen_high" id="32"/>
    <tableColumn name="pen_velocity_low" id="33"/>
    <tableColumn name="pen_velocity_high" id="34"/>
    <tableColumn name="effective_velocity" id="35"/>
    <tableColumn name="penetration" id="36"/>
    <tableColumn name="calibers_row" id="37"/>
    <tableColumn name="source_file" id="38"/>
    <tableColumn name="balance_score" id="39"/>
    <tableColumn name="damage_score" id="40"/>
    <tableColumn name="velocity_drop_score" id="41"/>
    <tableColumn name="suppression_score" id="42"/>
    <tableColumn name="penetration_score" id="43"/>
    <tableColumn name="strength" id="44"/>
  </tableColumns>
  <tableStyleInfo name="545-amm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13"/>
    <col customWidth="1" min="2" max="2" width="22.75"/>
    <col customWidth="1" min="3" max="8" width="5.63"/>
    <col customWidth="1" min="9" max="9" width="8.0"/>
    <col customWidth="1" min="10" max="29" width="5.63"/>
    <col customWidth="1" min="30" max="30" width="27.13"/>
    <col customWidth="1" min="31" max="37" width="5.63"/>
    <col customWidth="1" min="38" max="38" width="9.63"/>
    <col customWidth="1" min="39" max="44" width="5.63"/>
  </cols>
  <sheetData>
    <row r="1" ht="24.0" customHeight="1">
      <c r="A1" s="12" t="s">
        <v>10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16" t="s">
        <v>15</v>
      </c>
      <c r="N1" s="2"/>
      <c r="O1" s="2"/>
      <c r="P1" s="3"/>
      <c r="Q1" s="18"/>
      <c r="R1" s="18"/>
      <c r="S1" s="18"/>
      <c r="T1" s="21" t="s">
        <v>20</v>
      </c>
      <c r="U1" s="2"/>
      <c r="V1" s="2"/>
      <c r="W1" s="2"/>
      <c r="X1" s="2"/>
      <c r="Y1" s="2"/>
      <c r="Z1" s="2"/>
      <c r="AA1" s="3"/>
      <c r="AB1" s="16" t="s">
        <v>23</v>
      </c>
      <c r="AC1" s="2"/>
      <c r="AD1" s="2"/>
      <c r="AE1" s="2"/>
      <c r="AF1" s="2"/>
      <c r="AG1" s="2"/>
      <c r="AH1" s="3"/>
      <c r="AI1" s="24" t="s">
        <v>26</v>
      </c>
      <c r="AJ1" s="3"/>
      <c r="AK1" s="25" t="s">
        <v>29</v>
      </c>
      <c r="AL1" s="3"/>
      <c r="AM1" s="26" t="s">
        <v>30</v>
      </c>
      <c r="AN1" s="2"/>
      <c r="AO1" s="2"/>
      <c r="AP1" s="2"/>
      <c r="AQ1" s="2"/>
      <c r="AR1" s="3"/>
    </row>
    <row r="2" ht="45.75" customHeight="1">
      <c r="A2" s="28" t="s">
        <v>31</v>
      </c>
      <c r="B2" s="28" t="s">
        <v>37</v>
      </c>
      <c r="C2" s="28" t="s">
        <v>35</v>
      </c>
      <c r="D2" s="28" t="s">
        <v>36</v>
      </c>
      <c r="E2" s="28" t="s">
        <v>38</v>
      </c>
      <c r="F2" s="28" t="s">
        <v>39</v>
      </c>
      <c r="G2" s="28" t="s">
        <v>40</v>
      </c>
      <c r="H2" s="28" t="s">
        <v>41</v>
      </c>
      <c r="I2" s="28" t="s">
        <v>43</v>
      </c>
      <c r="J2" s="28" t="s">
        <v>44</v>
      </c>
      <c r="K2" s="31" t="s">
        <v>45</v>
      </c>
      <c r="L2" s="28" t="s">
        <v>46</v>
      </c>
      <c r="M2" s="28" t="s">
        <v>49</v>
      </c>
      <c r="N2" s="28" t="s">
        <v>51</v>
      </c>
      <c r="O2" s="28" t="s">
        <v>52</v>
      </c>
      <c r="P2" s="28" t="s">
        <v>55</v>
      </c>
      <c r="Q2" s="28" t="s">
        <v>58</v>
      </c>
      <c r="R2" s="28" t="s">
        <v>60</v>
      </c>
      <c r="S2" s="28" t="s">
        <v>62</v>
      </c>
      <c r="T2" s="28" t="s">
        <v>63</v>
      </c>
      <c r="U2" s="28" t="s">
        <v>64</v>
      </c>
      <c r="V2" s="28" t="s">
        <v>65</v>
      </c>
      <c r="W2" s="28" t="s">
        <v>66</v>
      </c>
      <c r="X2" s="28" t="s">
        <v>67</v>
      </c>
      <c r="Y2" s="28" t="s">
        <v>68</v>
      </c>
      <c r="Z2" s="28" t="s">
        <v>69</v>
      </c>
      <c r="AA2" s="28" t="s">
        <v>50</v>
      </c>
      <c r="AB2" s="28" t="s">
        <v>54</v>
      </c>
      <c r="AC2" s="28" t="s">
        <v>57</v>
      </c>
      <c r="AD2" s="28" t="s">
        <v>70</v>
      </c>
      <c r="AE2" s="28" t="s">
        <v>71</v>
      </c>
      <c r="AF2" s="28" t="s">
        <v>72</v>
      </c>
      <c r="AG2" s="28" t="s">
        <v>73</v>
      </c>
      <c r="AH2" s="28" t="s">
        <v>74</v>
      </c>
      <c r="AI2" s="28" t="s">
        <v>75</v>
      </c>
      <c r="AJ2" s="28" t="s">
        <v>61</v>
      </c>
      <c r="AK2" s="28" t="s">
        <v>76</v>
      </c>
      <c r="AL2" s="28" t="s">
        <v>77</v>
      </c>
      <c r="AM2" s="28" t="s">
        <v>78</v>
      </c>
      <c r="AN2" s="28" t="s">
        <v>79</v>
      </c>
      <c r="AO2" s="28" t="s">
        <v>80</v>
      </c>
      <c r="AP2" s="28" t="s">
        <v>81</v>
      </c>
      <c r="AQ2" s="28" t="s">
        <v>82</v>
      </c>
      <c r="AR2" s="28" t="s">
        <v>83</v>
      </c>
    </row>
    <row r="3" ht="14.25" customHeight="1">
      <c r="A3" s="37" t="s">
        <v>84</v>
      </c>
      <c r="B3" s="37" t="s">
        <v>85</v>
      </c>
      <c r="C3" s="38">
        <v>0.0</v>
      </c>
      <c r="D3" s="39">
        <v>0.0</v>
      </c>
      <c r="E3" s="38">
        <v>0.0</v>
      </c>
      <c r="F3" s="38">
        <v>0.0</v>
      </c>
      <c r="G3" s="40">
        <v>0.0</v>
      </c>
      <c r="H3" s="41"/>
      <c r="I3" s="38">
        <v>0.02</v>
      </c>
      <c r="J3" s="40"/>
      <c r="K3" s="42"/>
      <c r="L3" s="42">
        <v>0.0</v>
      </c>
      <c r="M3" s="43">
        <v>-0.07</v>
      </c>
      <c r="N3" s="43">
        <v>39.0</v>
      </c>
      <c r="O3" s="43">
        <v>38.5</v>
      </c>
      <c r="P3" s="43">
        <v>1.0</v>
      </c>
      <c r="Q3" s="44">
        <v>0.3</v>
      </c>
      <c r="R3" s="44">
        <v>0.5</v>
      </c>
      <c r="S3" s="45">
        <v>3.0</v>
      </c>
      <c r="T3" s="46">
        <f>MAX(MIN($M3*Model!$A$13+$N3,$O3)*$P3,0)</f>
        <v>37.25</v>
      </c>
      <c r="U3" s="46">
        <f>MAX(MIN($M3*Model!$A$14+$N3,$O3)*$P3,0)</f>
        <v>33.75</v>
      </c>
      <c r="V3" s="46">
        <f>MAX(MIN($M3*Model!$A$15+$N3,$O3)*$P3,0)</f>
        <v>28.5</v>
      </c>
      <c r="W3" s="46">
        <f>MAX(MIN($M3*Model!$A$16+$N3,$O3)*$P3,0)</f>
        <v>21.5</v>
      </c>
      <c r="X3" s="46">
        <f>MAX(MIN($M3*Model!$A$17+$N3,$O3)*$P3,0)</f>
        <v>38.5</v>
      </c>
      <c r="Y3" s="46">
        <f>MAX(MIN($M3*Model!$A$18+$N3,$O3)*$P3,0)</f>
        <v>38.5</v>
      </c>
      <c r="Z3" s="46">
        <f>MAX(MIN($M3*Model!$A$19+$N3,$O3)*$P3,0)</f>
        <v>38.5</v>
      </c>
      <c r="AA3" s="46">
        <f>T3*Model!$B$13+U3*Model!$B$14+V3*Model!$B$15+W3*Model!$B$16+X3*Model!$B$17+Y3*Model!$B$18+Z3*Model!$B$19</f>
        <v>31.65</v>
      </c>
      <c r="AB3" s="47">
        <v>0.6</v>
      </c>
      <c r="AC3" s="48">
        <v>0.4</v>
      </c>
      <c r="AD3" s="44" t="str">
        <f>CONCATENATE("stat(bullet_velocity;",'545-ammo'!$AE3,";",'545-ammo'!$AF3,";",'545-ammo'!$AG3,";",'545-ammo'!$AH3,")")</f>
        <v>stat(bullet_velocity;0;0.4;500;2000)</v>
      </c>
      <c r="AE3" s="47">
        <v>0.0</v>
      </c>
      <c r="AF3" s="47">
        <v>0.4</v>
      </c>
      <c r="AG3" s="49">
        <v>500.0</v>
      </c>
      <c r="AH3" s="49">
        <v>2000.0</v>
      </c>
      <c r="AI3" s="50">
        <f>Model!$B$4+IF(I3="",0,I3)</f>
        <v>1139.02</v>
      </c>
      <c r="AJ3" s="46">
        <f t="shared" ref="AJ3:AJ13" si="1">MAX(AE3,MIN(AF3,AE3+(AI3-AG3)*(AF3-AE3)/(AH3-AG3)))</f>
        <v>0.1704053333</v>
      </c>
      <c r="AK3" s="51">
        <v>59.0</v>
      </c>
      <c r="AL3" s="52" t="s">
        <v>86</v>
      </c>
      <c r="AM3" s="53">
        <f>C3*Model!$B$24+D3*Model!$B$25+E3*Model!$B$26+F3*Model!$B$27+G3*Model!$B$28+H3*Model!$B$29+I3*Model!$B$30+J3*Model!$B$31+K3*Model!$B$32+L3*Model!$B$33</f>
        <v>0.0001</v>
      </c>
      <c r="AN3" s="53">
        <f>(AA3-Model!$B$5)*Model!$B$36</f>
        <v>-2.52</v>
      </c>
      <c r="AO3" s="53">
        <f>(Model!$B$6-AB3)*Model!$B$37</f>
        <v>0</v>
      </c>
      <c r="AP3" s="53">
        <f>(AC3-Model!$B$7)*Model!$B$38</f>
        <v>0</v>
      </c>
      <c r="AQ3" s="53">
        <f>(AJ3-Model!$B$8)*Model!$B$39</f>
        <v>0.08162133333</v>
      </c>
      <c r="AR3" s="53">
        <f t="shared" ref="AR3:AR13" si="2">SUM(AM3:AQ3)</f>
        <v>-2.438278667</v>
      </c>
    </row>
    <row r="4" ht="14.25" customHeight="1">
      <c r="A4" s="37" t="s">
        <v>87</v>
      </c>
      <c r="B4" s="37" t="s">
        <v>88</v>
      </c>
      <c r="C4" s="38">
        <v>2.0</v>
      </c>
      <c r="D4" s="39">
        <v>0.01</v>
      </c>
      <c r="E4" s="54">
        <v>-1.0</v>
      </c>
      <c r="F4" s="54">
        <v>-1.0</v>
      </c>
      <c r="G4" s="39">
        <v>0.1</v>
      </c>
      <c r="H4" s="41"/>
      <c r="I4" s="54">
        <v>0.0</v>
      </c>
      <c r="J4" s="40"/>
      <c r="K4" s="42"/>
      <c r="L4" s="55">
        <v>500.0</v>
      </c>
      <c r="M4" s="43">
        <v>-0.074</v>
      </c>
      <c r="N4" s="43">
        <v>39.0</v>
      </c>
      <c r="O4" s="43">
        <v>38.5</v>
      </c>
      <c r="P4" s="43">
        <v>1.0</v>
      </c>
      <c r="Q4" s="44">
        <v>0.3</v>
      </c>
      <c r="R4" s="44">
        <v>0.5</v>
      </c>
      <c r="S4" s="44">
        <v>3.0</v>
      </c>
      <c r="T4" s="46">
        <f>MAX(MIN($M4*Model!$A$13+$N4,$O4)*$P4,0)</f>
        <v>37.15</v>
      </c>
      <c r="U4" s="46">
        <f>MAX(MIN($M4*Model!$A$14+$N4,$O4)*$P4,0)</f>
        <v>33.45</v>
      </c>
      <c r="V4" s="46">
        <f>MAX(MIN($M4*Model!$A$15+$N4,$O4)*$P4,0)</f>
        <v>27.9</v>
      </c>
      <c r="W4" s="46">
        <f>MAX(MIN($M4*Model!$A$16+$N4,$O4)*$P4,0)</f>
        <v>20.5</v>
      </c>
      <c r="X4" s="46">
        <f>MAX(MIN($M4*Model!$A$17+$N4,$O4)*$P4,0)</f>
        <v>38.5</v>
      </c>
      <c r="Y4" s="46">
        <f>MAX(MIN($M4*Model!$A$18+$N4,$O4)*$P4,0)</f>
        <v>38.5</v>
      </c>
      <c r="Z4" s="46">
        <f>MAX(MIN($M4*Model!$A$19+$N4,$O4)*$P4,0)</f>
        <v>38.5</v>
      </c>
      <c r="AA4" s="46">
        <f>T4*Model!$B$13+U4*Model!$B$14+V4*Model!$B$15+W4*Model!$B$16+X4*Model!$B$17+Y4*Model!$B$18+Z4*Model!$B$19</f>
        <v>31.23</v>
      </c>
      <c r="AB4" s="47">
        <v>0.65</v>
      </c>
      <c r="AC4" s="47">
        <v>0.6</v>
      </c>
      <c r="AD4" s="44" t="str">
        <f>CONCATENATE("stat(bullet_velocity;",'545-ammo'!$AE4,";",'545-ammo'!$AF4,";",'545-ammo'!$AG4,";",'545-ammo'!$AH4,")")</f>
        <v>stat(bullet_velocity;0;0.3;500;2000)</v>
      </c>
      <c r="AE4" s="47">
        <v>0.0</v>
      </c>
      <c r="AF4" s="47">
        <v>0.3</v>
      </c>
      <c r="AG4" s="49">
        <v>500.0</v>
      </c>
      <c r="AH4" s="49">
        <v>2000.0</v>
      </c>
      <c r="AI4" s="50">
        <f>Model!$B$4+IF(I4="",0,I4)</f>
        <v>1139</v>
      </c>
      <c r="AJ4" s="46">
        <f t="shared" si="1"/>
        <v>0.1278</v>
      </c>
      <c r="AK4" s="51">
        <v>65.0</v>
      </c>
      <c r="AL4" s="52" t="s">
        <v>86</v>
      </c>
      <c r="AM4" s="53">
        <f>C4*Model!$B$24+D4*Model!$B$25+E4*Model!$B$26+F4*Model!$B$27+G4*Model!$B$28+H4*Model!$B$29+I4*Model!$B$30+J4*Model!$B$31+K4*Model!$B$32+L4*Model!$B$33</f>
        <v>2.2</v>
      </c>
      <c r="AN4" s="53">
        <f>(AA4-Model!$B$5)*Model!$B$36</f>
        <v>-3.15</v>
      </c>
      <c r="AO4" s="53">
        <f>(Model!$B$6-AB4)*Model!$B$37</f>
        <v>-0.1</v>
      </c>
      <c r="AP4" s="53">
        <f>(AC4-Model!$B$7)*Model!$B$38</f>
        <v>0.6</v>
      </c>
      <c r="AQ4" s="53">
        <f>(AJ4-Model!$B$8)*Model!$B$39</f>
        <v>-0.0888</v>
      </c>
      <c r="AR4" s="53">
        <f t="shared" si="2"/>
        <v>-0.5388</v>
      </c>
    </row>
    <row r="5" ht="14.25" customHeight="1">
      <c r="A5" s="56" t="s">
        <v>89</v>
      </c>
      <c r="B5" s="56" t="s">
        <v>90</v>
      </c>
      <c r="C5" s="57">
        <v>-1.0</v>
      </c>
      <c r="D5" s="58">
        <v>0.0</v>
      </c>
      <c r="E5" s="59">
        <v>1.0</v>
      </c>
      <c r="F5" s="57">
        <v>1.0</v>
      </c>
      <c r="G5" s="60">
        <v>-0.1</v>
      </c>
      <c r="H5" s="61"/>
      <c r="I5" s="59">
        <v>100.0</v>
      </c>
      <c r="J5" s="60"/>
      <c r="K5" s="62"/>
      <c r="L5" s="63">
        <v>1000.0</v>
      </c>
      <c r="M5" s="64">
        <v>-0.066</v>
      </c>
      <c r="N5" s="64">
        <v>39.5</v>
      </c>
      <c r="O5" s="64">
        <v>38.5</v>
      </c>
      <c r="P5" s="64">
        <v>1.0</v>
      </c>
      <c r="Q5" s="44">
        <v>0.3</v>
      </c>
      <c r="R5" s="44">
        <v>0.5</v>
      </c>
      <c r="S5" s="44">
        <v>3.0</v>
      </c>
      <c r="T5" s="65">
        <f>MAX(MIN($M5*Model!$A$13+$N5,$O5)*$P5,0)</f>
        <v>37.85</v>
      </c>
      <c r="U5" s="65">
        <f>MAX(MIN($M5*Model!$A$14+$N5,$O5)*$P5,0)</f>
        <v>34.55</v>
      </c>
      <c r="V5" s="65">
        <f>MAX(MIN($M5*Model!$A$15+$N5,$O5)*$P5,0)</f>
        <v>29.6</v>
      </c>
      <c r="W5" s="65">
        <f>MAX(MIN($M5*Model!$A$16+$N5,$O5)*$P5,0)</f>
        <v>23</v>
      </c>
      <c r="X5" s="65">
        <f>MAX(MIN($M5*Model!$A$17+$N5,$O5)*$P5,0)</f>
        <v>38.5</v>
      </c>
      <c r="Y5" s="65">
        <f>MAX(MIN($M5*Model!$A$18+$N5,$O5)*$P5,0)</f>
        <v>38.5</v>
      </c>
      <c r="Z5" s="65">
        <f>MAX(MIN($M5*Model!$A$19+$N5,$O5)*$P5,0)</f>
        <v>38.5</v>
      </c>
      <c r="AA5" s="65">
        <f>T5*Model!$B$13+U5*Model!$B$14+V5*Model!$B$15+W5*Model!$B$16+X5*Model!$B$17+Y5*Model!$B$18+Z5*Model!$B$19</f>
        <v>32.57</v>
      </c>
      <c r="AB5" s="66">
        <v>0.6</v>
      </c>
      <c r="AC5" s="66">
        <v>0.45</v>
      </c>
      <c r="AD5" s="44" t="str">
        <f>CONCATENATE("stat(bullet_velocity;",'545-ammo'!$AE5,";",'545-ammo'!$AF5,";",'545-ammo'!$AG5,";",'545-ammo'!$AH5,")")</f>
        <v>stat(bullet_velocity;0;0.4;500;2000)</v>
      </c>
      <c r="AE5" s="66">
        <v>0.0</v>
      </c>
      <c r="AF5" s="66">
        <v>0.4</v>
      </c>
      <c r="AG5" s="49">
        <v>500.0</v>
      </c>
      <c r="AH5" s="49">
        <v>2000.0</v>
      </c>
      <c r="AI5" s="67">
        <f>Model!$B$4+IF(I5="",0,I5)</f>
        <v>1239</v>
      </c>
      <c r="AJ5" s="65">
        <f t="shared" si="1"/>
        <v>0.1970666667</v>
      </c>
      <c r="AK5" s="68">
        <v>69.0</v>
      </c>
      <c r="AL5" s="69" t="s">
        <v>86</v>
      </c>
      <c r="AM5" s="53">
        <f>C5*Model!$B$24+D5*Model!$B$25+E5*Model!$B$26+F5*Model!$B$27+G5*Model!$B$28+H5*Model!$B$29+I5*Model!$B$30+J5*Model!$B$31+K5*Model!$B$32+L5*Model!$B$33</f>
        <v>-0.9</v>
      </c>
      <c r="AN5" s="70">
        <f>(AA5-Model!$B$5)*Model!$B$36</f>
        <v>-1.14</v>
      </c>
      <c r="AO5" s="70">
        <f>(Model!$B$6-AB5)*Model!$B$37</f>
        <v>0</v>
      </c>
      <c r="AP5" s="70">
        <f>(AC5-Model!$B$7)*Model!$B$38</f>
        <v>0.15</v>
      </c>
      <c r="AQ5" s="70">
        <f>(AJ5-Model!$B$8)*Model!$B$39</f>
        <v>0.1882666667</v>
      </c>
      <c r="AR5" s="70">
        <f t="shared" si="2"/>
        <v>-1.701733333</v>
      </c>
    </row>
    <row r="6" ht="14.25" customHeight="1">
      <c r="A6" s="37" t="s">
        <v>91</v>
      </c>
      <c r="B6" s="37" t="s">
        <v>92</v>
      </c>
      <c r="C6" s="54">
        <v>0.0</v>
      </c>
      <c r="D6" s="39">
        <v>0.02</v>
      </c>
      <c r="E6" s="38">
        <v>2.0</v>
      </c>
      <c r="F6" s="54">
        <v>1.0</v>
      </c>
      <c r="G6" s="40">
        <v>-0.05</v>
      </c>
      <c r="H6" s="41"/>
      <c r="I6" s="38">
        <v>50.0</v>
      </c>
      <c r="J6" s="40"/>
      <c r="K6" s="42"/>
      <c r="L6" s="42">
        <v>1250.0</v>
      </c>
      <c r="M6" s="43">
        <v>-0.074</v>
      </c>
      <c r="N6" s="43">
        <v>41.0</v>
      </c>
      <c r="O6" s="43">
        <v>39.5</v>
      </c>
      <c r="P6" s="43">
        <v>1.0</v>
      </c>
      <c r="Q6" s="44">
        <v>0.3</v>
      </c>
      <c r="R6" s="44">
        <v>0.5</v>
      </c>
      <c r="S6" s="44">
        <v>3.0</v>
      </c>
      <c r="T6" s="46">
        <f>MAX(MIN($M6*Model!$A$13+$N6,$O6)*$P6,0)</f>
        <v>39.15</v>
      </c>
      <c r="U6" s="46">
        <f>MAX(MIN($M6*Model!$A$14+$N6,$O6)*$P6,0)</f>
        <v>35.45</v>
      </c>
      <c r="V6" s="46">
        <f>MAX(MIN($M6*Model!$A$15+$N6,$O6)*$P6,0)</f>
        <v>29.9</v>
      </c>
      <c r="W6" s="46">
        <f>MAX(MIN($M6*Model!$A$16+$N6,$O6)*$P6,0)</f>
        <v>22.5</v>
      </c>
      <c r="X6" s="46">
        <f>MAX(MIN($M6*Model!$A$17+$N6,$O6)*$P6,0)</f>
        <v>39.5</v>
      </c>
      <c r="Y6" s="46">
        <f>MAX(MIN($M6*Model!$A$18+$N6,$O6)*$P6,0)</f>
        <v>39.5</v>
      </c>
      <c r="Z6" s="46">
        <f>MAX(MIN($M6*Model!$A$19+$N6,$O6)*$P6,0)</f>
        <v>39.5</v>
      </c>
      <c r="AA6" s="46">
        <f>T6*Model!$B$13+U6*Model!$B$14+V6*Model!$B$15+W6*Model!$B$16+X6*Model!$B$17+Y6*Model!$B$18+Z6*Model!$B$19</f>
        <v>33.23</v>
      </c>
      <c r="AB6" s="47">
        <v>0.5</v>
      </c>
      <c r="AC6" s="47">
        <v>0.45</v>
      </c>
      <c r="AD6" s="44" t="str">
        <f>CONCATENATE("stat(bullet_velocity;",'545-ammo'!$AE6,";",'545-ammo'!$AF6,";",'545-ammo'!$AG6,";",'545-ammo'!$AH6,")")</f>
        <v>stat(bullet_velocity;0;0.5;500;2000)</v>
      </c>
      <c r="AE6" s="47">
        <v>0.0</v>
      </c>
      <c r="AF6" s="47">
        <v>0.5</v>
      </c>
      <c r="AG6" s="49">
        <v>500.0</v>
      </c>
      <c r="AH6" s="49">
        <v>2000.0</v>
      </c>
      <c r="AI6" s="50">
        <f>Model!$B$4+IF(I6="",0,I6)</f>
        <v>1189</v>
      </c>
      <c r="AJ6" s="46">
        <f t="shared" si="1"/>
        <v>0.2296666667</v>
      </c>
      <c r="AK6" s="51">
        <v>62.0</v>
      </c>
      <c r="AL6" s="52" t="s">
        <v>86</v>
      </c>
      <c r="AM6" s="53">
        <f>C6*Model!$B$24+D6*Model!$B$25+E6*Model!$B$26+F6*Model!$B$27+G6*Model!$B$28+H6*Model!$B$29+I6*Model!$B$30+J6*Model!$B$31+K6*Model!$B$32+L6*Model!$B$33</f>
        <v>-1.85</v>
      </c>
      <c r="AN6" s="53">
        <f>(AA6-Model!$B$5)*Model!$B$36</f>
        <v>-0.15</v>
      </c>
      <c r="AO6" s="53">
        <f>(Model!$B$6-AB6)*Model!$B$37</f>
        <v>0.2</v>
      </c>
      <c r="AP6" s="53">
        <f>(AC6-Model!$B$7)*Model!$B$38</f>
        <v>0.15</v>
      </c>
      <c r="AQ6" s="53">
        <f>(AJ6-Model!$B$8)*Model!$B$39</f>
        <v>0.3186666667</v>
      </c>
      <c r="AR6" s="53">
        <f t="shared" si="2"/>
        <v>-1.331333333</v>
      </c>
    </row>
    <row r="7" ht="14.25" customHeight="1">
      <c r="A7" s="37" t="s">
        <v>93</v>
      </c>
      <c r="B7" s="37" t="s">
        <v>94</v>
      </c>
      <c r="C7" s="54">
        <v>-2.0</v>
      </c>
      <c r="D7" s="39">
        <v>0.0</v>
      </c>
      <c r="E7" s="38">
        <v>3.0</v>
      </c>
      <c r="F7" s="38">
        <v>2.0</v>
      </c>
      <c r="G7" s="39">
        <v>-0.2</v>
      </c>
      <c r="H7" s="41"/>
      <c r="I7" s="38">
        <v>200.0</v>
      </c>
      <c r="J7" s="40"/>
      <c r="K7" s="42"/>
      <c r="L7" s="55">
        <v>3000.0</v>
      </c>
      <c r="M7" s="43">
        <v>-0.064</v>
      </c>
      <c r="N7" s="43">
        <v>41.0</v>
      </c>
      <c r="O7" s="43">
        <v>40.0</v>
      </c>
      <c r="P7" s="43">
        <v>1.0</v>
      </c>
      <c r="Q7" s="44">
        <v>0.3</v>
      </c>
      <c r="R7" s="44">
        <v>0.5</v>
      </c>
      <c r="S7" s="44">
        <v>3.0</v>
      </c>
      <c r="T7" s="46">
        <f>MAX(MIN($M7*Model!$A$13+$N7,$O7)*$P7,0)</f>
        <v>39.4</v>
      </c>
      <c r="U7" s="46">
        <f>MAX(MIN($M7*Model!$A$14+$N7,$O7)*$P7,0)</f>
        <v>36.2</v>
      </c>
      <c r="V7" s="46">
        <f>MAX(MIN($M7*Model!$A$15+$N7,$O7)*$P7,0)</f>
        <v>31.4</v>
      </c>
      <c r="W7" s="46">
        <f>MAX(MIN($M7*Model!$A$16+$N7,$O7)*$P7,0)</f>
        <v>25</v>
      </c>
      <c r="X7" s="46">
        <f>MAX(MIN($M7*Model!$A$17+$N7,$O7)*$P7,0)</f>
        <v>40</v>
      </c>
      <c r="Y7" s="46">
        <f>MAX(MIN($M7*Model!$A$18+$N7,$O7)*$P7,0)</f>
        <v>40</v>
      </c>
      <c r="Z7" s="46">
        <f>MAX(MIN($M7*Model!$A$19+$N7,$O7)*$P7,0)</f>
        <v>40</v>
      </c>
      <c r="AA7" s="46">
        <f>T7*Model!$B$13+U7*Model!$B$14+V7*Model!$B$15+W7*Model!$B$16+X7*Model!$B$17+Y7*Model!$B$18+Z7*Model!$B$19</f>
        <v>34.28</v>
      </c>
      <c r="AB7" s="47">
        <v>0.7</v>
      </c>
      <c r="AC7" s="47">
        <v>0.5</v>
      </c>
      <c r="AD7" s="44" t="str">
        <f>CONCATENATE("stat(bullet_velocity;",'545-ammo'!$AE7,";",'545-ammo'!$AF7,";",'545-ammo'!$AG7,";",'545-ammo'!$AH7,")")</f>
        <v>stat(bullet_velocity;0.05;0.55;500;2000)</v>
      </c>
      <c r="AE7" s="47">
        <v>0.05</v>
      </c>
      <c r="AF7" s="47">
        <v>0.55</v>
      </c>
      <c r="AG7" s="49">
        <v>500.0</v>
      </c>
      <c r="AH7" s="49">
        <v>2000.0</v>
      </c>
      <c r="AI7" s="50">
        <f>Model!$B$4+IF(I7="",0,I7)</f>
        <v>1339</v>
      </c>
      <c r="AJ7" s="46">
        <f t="shared" si="1"/>
        <v>0.3296666667</v>
      </c>
      <c r="AK7" s="51">
        <v>63.0</v>
      </c>
      <c r="AL7" s="52" t="s">
        <v>86</v>
      </c>
      <c r="AM7" s="53">
        <f>C7*Model!$B$24+D7*Model!$B$25+E7*Model!$B$26+F7*Model!$B$27+G7*Model!$B$28+H7*Model!$B$29+I7*Model!$B$30+J7*Model!$B$31+K7*Model!$B$32+L7*Model!$B$33</f>
        <v>-2.6</v>
      </c>
      <c r="AN7" s="53">
        <f>(AA7-Model!$B$5)*Model!$B$36</f>
        <v>1.425</v>
      </c>
      <c r="AO7" s="53">
        <f>(Model!$B$6-AB7)*Model!$B$37</f>
        <v>-0.2</v>
      </c>
      <c r="AP7" s="53">
        <f>(AC7-Model!$B$7)*Model!$B$38</f>
        <v>0.3</v>
      </c>
      <c r="AQ7" s="53">
        <f>(AJ7-Model!$B$8)*Model!$B$39</f>
        <v>0.7186666667</v>
      </c>
      <c r="AR7" s="53">
        <f t="shared" si="2"/>
        <v>-0.3563333333</v>
      </c>
    </row>
    <row r="8" ht="14.25" customHeight="1">
      <c r="A8" s="37" t="s">
        <v>95</v>
      </c>
      <c r="B8" s="37" t="s">
        <v>96</v>
      </c>
      <c r="C8" s="54">
        <v>-1.0</v>
      </c>
      <c r="D8" s="39">
        <v>0.08</v>
      </c>
      <c r="E8" s="54">
        <v>2.0</v>
      </c>
      <c r="F8" s="54">
        <v>3.0</v>
      </c>
      <c r="G8" s="39">
        <v>-0.1</v>
      </c>
      <c r="H8" s="41"/>
      <c r="I8" s="54">
        <v>-100.0</v>
      </c>
      <c r="J8" s="40"/>
      <c r="K8" s="55">
        <v>-0.2</v>
      </c>
      <c r="L8" s="55">
        <v>3500.0</v>
      </c>
      <c r="M8" s="43">
        <v>-0.084</v>
      </c>
      <c r="N8" s="43">
        <v>43.0</v>
      </c>
      <c r="O8" s="43">
        <v>43.0</v>
      </c>
      <c r="P8" s="43">
        <v>1.0</v>
      </c>
      <c r="Q8" s="44">
        <v>0.4</v>
      </c>
      <c r="R8" s="45">
        <v>0.6</v>
      </c>
      <c r="S8" s="44">
        <v>3.0</v>
      </c>
      <c r="T8" s="46">
        <f>MAX(MIN($M8*Model!$A$13+$N8,$O8)*$P8,0)</f>
        <v>40.9</v>
      </c>
      <c r="U8" s="46">
        <f>MAX(MIN($M8*Model!$A$14+$N8,$O8)*$P8,0)</f>
        <v>36.7</v>
      </c>
      <c r="V8" s="46">
        <f>MAX(MIN($M8*Model!$A$15+$N8,$O8)*$P8,0)</f>
        <v>30.4</v>
      </c>
      <c r="W8" s="46">
        <f>MAX(MIN($M8*Model!$A$16+$N8,$O8)*$P8,0)</f>
        <v>22</v>
      </c>
      <c r="X8" s="46">
        <f>MAX(MIN($M8*Model!$A$17+$N8,$O8)*$P8,0)</f>
        <v>43</v>
      </c>
      <c r="Y8" s="46">
        <f>MAX(MIN($M8*Model!$A$18+$N8,$O8)*$P8,0)</f>
        <v>43</v>
      </c>
      <c r="Z8" s="46">
        <f>MAX(MIN($M8*Model!$A$19+$N8,$O8)*$P8,0)</f>
        <v>43</v>
      </c>
      <c r="AA8" s="46">
        <f>T8*Model!$B$13+U8*Model!$B$14+V8*Model!$B$15+W8*Model!$B$16+X8*Model!$B$17+Y8*Model!$B$18+Z8*Model!$B$19</f>
        <v>34.18</v>
      </c>
      <c r="AB8" s="47">
        <v>0.55</v>
      </c>
      <c r="AC8" s="47">
        <v>0.2</v>
      </c>
      <c r="AD8" s="44" t="str">
        <f>CONCATENATE("stat(bullet_velocity;",'545-ammo'!$AE8,";",'545-ammo'!$AF8,";",'545-ammo'!$AG8,";",'545-ammo'!$AH8,")")</f>
        <v>stat(bullet_velocity;0;0.25;500;2000)</v>
      </c>
      <c r="AE8" s="47">
        <v>0.0</v>
      </c>
      <c r="AF8" s="47">
        <v>0.25</v>
      </c>
      <c r="AG8" s="49">
        <v>500.0</v>
      </c>
      <c r="AH8" s="49">
        <v>2000.0</v>
      </c>
      <c r="AI8" s="50">
        <f>Model!$B$4+IF(I8="",0,I8)</f>
        <v>1039</v>
      </c>
      <c r="AJ8" s="46">
        <f t="shared" si="1"/>
        <v>0.08983333333</v>
      </c>
      <c r="AK8" s="51">
        <v>61.0</v>
      </c>
      <c r="AL8" s="52" t="s">
        <v>86</v>
      </c>
      <c r="AM8" s="53">
        <f>C8*Model!$B$24+D8*Model!$B$25+E8*Model!$B$26+F8*Model!$B$27+G8*Model!$B$28+H8*Model!$B$29+I8*Model!$B$30+J8*Model!$B$31+K8*Model!$B$32+L8*Model!$B$33</f>
        <v>-4.5</v>
      </c>
      <c r="AN8" s="53">
        <f>(AA8-Model!$B$5)*Model!$B$36</f>
        <v>1.275</v>
      </c>
      <c r="AO8" s="53">
        <f>(Model!$B$6-AB8)*Model!$B$37</f>
        <v>0.1</v>
      </c>
      <c r="AP8" s="53">
        <f>(AC8-Model!$B$7)*Model!$B$38</f>
        <v>-0.6</v>
      </c>
      <c r="AQ8" s="53">
        <f>(AJ8-Model!$B$8)*Model!$B$39</f>
        <v>-0.2406666667</v>
      </c>
      <c r="AR8" s="53">
        <f t="shared" si="2"/>
        <v>-3.965666667</v>
      </c>
    </row>
    <row r="9" ht="14.25" customHeight="1">
      <c r="A9" s="37" t="s">
        <v>97</v>
      </c>
      <c r="B9" s="37" t="s">
        <v>98</v>
      </c>
      <c r="C9" s="54">
        <v>0.0</v>
      </c>
      <c r="D9" s="39">
        <v>-0.06</v>
      </c>
      <c r="E9" s="54">
        <v>-3.0</v>
      </c>
      <c r="F9" s="54">
        <v>-2.0</v>
      </c>
      <c r="G9" s="40">
        <v>0.0</v>
      </c>
      <c r="H9" s="41"/>
      <c r="I9" s="54">
        <v>100.0</v>
      </c>
      <c r="J9" s="40"/>
      <c r="K9" s="42"/>
      <c r="L9" s="55">
        <v>750.0</v>
      </c>
      <c r="M9" s="43">
        <v>-0.078</v>
      </c>
      <c r="N9" s="43">
        <v>38.5</v>
      </c>
      <c r="O9" s="43">
        <v>43.0</v>
      </c>
      <c r="P9" s="43">
        <v>1.0</v>
      </c>
      <c r="Q9" s="44">
        <v>0.3</v>
      </c>
      <c r="R9" s="44">
        <v>0.5</v>
      </c>
      <c r="S9" s="44">
        <v>3.0</v>
      </c>
      <c r="T9" s="46">
        <f>MAX(MIN($M9*Model!$A$13+$N9,$O9)*$P9,0)</f>
        <v>36.55</v>
      </c>
      <c r="U9" s="46">
        <f>MAX(MIN($M9*Model!$A$14+$N9,$O9)*$P9,0)</f>
        <v>32.65</v>
      </c>
      <c r="V9" s="46">
        <f>MAX(MIN($M9*Model!$A$15+$N9,$O9)*$P9,0)</f>
        <v>26.8</v>
      </c>
      <c r="W9" s="46">
        <f>MAX(MIN($M9*Model!$A$16+$N9,$O9)*$P9,0)</f>
        <v>19</v>
      </c>
      <c r="X9" s="46">
        <f>MAX(MIN($M9*Model!$A$17+$N9,$O9)*$P9,0)</f>
        <v>38.5</v>
      </c>
      <c r="Y9" s="46">
        <f>MAX(MIN($M9*Model!$A$18+$N9,$O9)*$P9,0)</f>
        <v>38.5</v>
      </c>
      <c r="Z9" s="46">
        <f>MAX(MIN($M9*Model!$A$19+$N9,$O9)*$P9,0)</f>
        <v>38.5</v>
      </c>
      <c r="AA9" s="46">
        <f>T9*Model!$B$13+U9*Model!$B$14+V9*Model!$B$15+W9*Model!$B$16+X9*Model!$B$17+Y9*Model!$B$18+Z9*Model!$B$19</f>
        <v>30.31</v>
      </c>
      <c r="AB9" s="47">
        <v>0.7</v>
      </c>
      <c r="AC9" s="47">
        <v>0.35</v>
      </c>
      <c r="AD9" s="44" t="str">
        <f>CONCATENATE("stat(bullet_velocity;",'545-ammo'!$AE9,";",'545-ammo'!$AF9,";",'545-ammo'!$AG9,";",'545-ammo'!$AH9,")")</f>
        <v>stat(bullet_velocity;0;0.05;500;2000)</v>
      </c>
      <c r="AE9" s="48">
        <v>0.0</v>
      </c>
      <c r="AF9" s="47">
        <v>0.05</v>
      </c>
      <c r="AG9" s="49">
        <v>500.0</v>
      </c>
      <c r="AH9" s="49">
        <v>2000.0</v>
      </c>
      <c r="AI9" s="50">
        <f>Model!$B$4+IF(I9="",0,I9)</f>
        <v>1239</v>
      </c>
      <c r="AJ9" s="46">
        <f t="shared" si="1"/>
        <v>0.02463333333</v>
      </c>
      <c r="AK9" s="51">
        <v>60.0</v>
      </c>
      <c r="AL9" s="52" t="s">
        <v>86</v>
      </c>
      <c r="AM9" s="53">
        <f>C9*Model!$B$24+D9*Model!$B$25+E9*Model!$B$26+F9*Model!$B$27+G9*Model!$B$28+H9*Model!$B$29+I9*Model!$B$30+J9*Model!$B$31+K9*Model!$B$32+L9*Model!$B$33</f>
        <v>5.3</v>
      </c>
      <c r="AN9" s="53">
        <f>(AA9-Model!$B$5)*Model!$B$36</f>
        <v>-4.53</v>
      </c>
      <c r="AO9" s="53">
        <f>(Model!$B$6-AB9)*Model!$B$37</f>
        <v>-0.2</v>
      </c>
      <c r="AP9" s="53">
        <f>(AC9-Model!$B$7)*Model!$B$38</f>
        <v>-0.15</v>
      </c>
      <c r="AQ9" s="53">
        <f>(AJ9-Model!$B$8)*Model!$B$39</f>
        <v>-0.5014666667</v>
      </c>
      <c r="AR9" s="53">
        <f t="shared" si="2"/>
        <v>-0.08146666667</v>
      </c>
    </row>
    <row r="10" ht="14.25" customHeight="1">
      <c r="A10" s="37" t="s">
        <v>99</v>
      </c>
      <c r="B10" s="37" t="s">
        <v>100</v>
      </c>
      <c r="C10" s="54">
        <v>3.0</v>
      </c>
      <c r="D10" s="39">
        <v>0.1</v>
      </c>
      <c r="E10" s="54">
        <v>0.0</v>
      </c>
      <c r="F10" s="54">
        <v>0.0</v>
      </c>
      <c r="G10" s="39">
        <v>0.05</v>
      </c>
      <c r="H10" s="41"/>
      <c r="I10" s="54">
        <v>-250.0</v>
      </c>
      <c r="J10" s="40"/>
      <c r="K10" s="55">
        <v>-0.7</v>
      </c>
      <c r="L10" s="55">
        <v>2750.0</v>
      </c>
      <c r="M10" s="43">
        <v>-0.108</v>
      </c>
      <c r="N10" s="43">
        <v>42.5</v>
      </c>
      <c r="O10" s="43">
        <v>43.0</v>
      </c>
      <c r="P10" s="43">
        <v>1.0</v>
      </c>
      <c r="Q10" s="44">
        <v>0.3</v>
      </c>
      <c r="R10" s="44">
        <v>0.5</v>
      </c>
      <c r="S10" s="44">
        <v>3.0</v>
      </c>
      <c r="T10" s="46">
        <f>MAX(MIN($M10*Model!$A$13+$N10,$O10)*$P10,0)</f>
        <v>39.8</v>
      </c>
      <c r="U10" s="46">
        <f>MAX(MIN($M10*Model!$A$14+$N10,$O10)*$P10,0)</f>
        <v>34.4</v>
      </c>
      <c r="V10" s="46">
        <f>MAX(MIN($M10*Model!$A$15+$N10,$O10)*$P10,0)</f>
        <v>26.3</v>
      </c>
      <c r="W10" s="46">
        <f>MAX(MIN($M10*Model!$A$16+$N10,$O10)*$P10,0)</f>
        <v>15.5</v>
      </c>
      <c r="X10" s="46">
        <f>MAX(MIN($M10*Model!$A$17+$N10,$O10)*$P10,0)</f>
        <v>42.5</v>
      </c>
      <c r="Y10" s="46">
        <f>MAX(MIN($M10*Model!$A$18+$N10,$O10)*$P10,0)</f>
        <v>42.5</v>
      </c>
      <c r="Z10" s="46">
        <f>MAX(MIN($M10*Model!$A$19+$N10,$O10)*$P10,0)</f>
        <v>42.5</v>
      </c>
      <c r="AA10" s="46">
        <f>T10*Model!$B$13+U10*Model!$B$14+V10*Model!$B$15+W10*Model!$B$16+X10*Model!$B$17+Y10*Model!$B$18+Z10*Model!$B$19</f>
        <v>31.16</v>
      </c>
      <c r="AB10" s="47">
        <v>0.6</v>
      </c>
      <c r="AC10" s="48">
        <v>0.1</v>
      </c>
      <c r="AD10" s="44" t="str">
        <f>CONCATENATE("stat(bullet_velocity;",'545-ammo'!$AE10,";",'545-ammo'!$AF10,";",'545-ammo'!$AG10,";",'545-ammo'!$AH10,")")</f>
        <v>stat(bullet_velocity;0;0.5;500;2000)</v>
      </c>
      <c r="AE10" s="47">
        <v>0.0</v>
      </c>
      <c r="AF10" s="47">
        <v>0.5</v>
      </c>
      <c r="AG10" s="49">
        <v>500.0</v>
      </c>
      <c r="AH10" s="49">
        <v>2000.0</v>
      </c>
      <c r="AI10" s="50">
        <f>Model!$B$4+IF(I10="",0,I10)</f>
        <v>889</v>
      </c>
      <c r="AJ10" s="46">
        <f t="shared" si="1"/>
        <v>0.1296666667</v>
      </c>
      <c r="AK10" s="51">
        <v>64.0</v>
      </c>
      <c r="AL10" s="52" t="s">
        <v>86</v>
      </c>
      <c r="AM10" s="53">
        <f>C10*Model!$B$24+D10*Model!$B$25+E10*Model!$B$26+F10*Model!$B$27+G10*Model!$B$28+H10*Model!$B$29+I10*Model!$B$30+J10*Model!$B$31+K10*Model!$B$32+L10*Model!$B$33</f>
        <v>2.75</v>
      </c>
      <c r="AN10" s="53">
        <f>(AA10-Model!$B$5)*Model!$B$36</f>
        <v>-3.255</v>
      </c>
      <c r="AO10" s="53">
        <f>(Model!$B$6-AB10)*Model!$B$37</f>
        <v>0</v>
      </c>
      <c r="AP10" s="53">
        <f>(AC10-Model!$B$7)*Model!$B$38</f>
        <v>-0.9</v>
      </c>
      <c r="AQ10" s="53">
        <f>(AJ10-Model!$B$8)*Model!$B$39</f>
        <v>-0.08133333333</v>
      </c>
      <c r="AR10" s="53">
        <f t="shared" si="2"/>
        <v>-1.486333333</v>
      </c>
    </row>
    <row r="11" ht="14.25" customHeight="1">
      <c r="A11" s="37" t="s">
        <v>101</v>
      </c>
      <c r="B11" s="37" t="s">
        <v>102</v>
      </c>
      <c r="C11" s="54">
        <v>1.0</v>
      </c>
      <c r="D11" s="39">
        <v>-0.06</v>
      </c>
      <c r="E11" s="54">
        <v>0.0</v>
      </c>
      <c r="F11" s="54">
        <v>-2.0</v>
      </c>
      <c r="G11" s="40">
        <v>0.05</v>
      </c>
      <c r="H11" s="41"/>
      <c r="I11" s="38">
        <v>100.0</v>
      </c>
      <c r="J11" s="40"/>
      <c r="K11" s="42"/>
      <c r="L11" s="42">
        <v>1500.0</v>
      </c>
      <c r="M11" s="43">
        <v>-0.088</v>
      </c>
      <c r="N11" s="43">
        <v>41.0</v>
      </c>
      <c r="O11" s="43">
        <v>42.0</v>
      </c>
      <c r="P11" s="43">
        <v>1.0</v>
      </c>
      <c r="Q11" s="45">
        <v>0.45</v>
      </c>
      <c r="R11" s="45">
        <v>0.65</v>
      </c>
      <c r="S11" s="44">
        <v>3.0</v>
      </c>
      <c r="T11" s="46">
        <f>MAX(MIN($M11*Model!$A$13+$N11,$O11)*$P11,0)</f>
        <v>38.8</v>
      </c>
      <c r="U11" s="46">
        <f>MAX(MIN($M11*Model!$A$14+$N11,$O11)*$P11,0)</f>
        <v>34.4</v>
      </c>
      <c r="V11" s="46">
        <f>MAX(MIN($M11*Model!$A$15+$N11,$O11)*$P11,0)</f>
        <v>27.8</v>
      </c>
      <c r="W11" s="46">
        <f>MAX(MIN($M11*Model!$A$16+$N11,$O11)*$P11,0)</f>
        <v>19</v>
      </c>
      <c r="X11" s="46">
        <f>MAX(MIN($M11*Model!$A$17+$N11,$O11)*$P11,0)</f>
        <v>41</v>
      </c>
      <c r="Y11" s="46">
        <f>MAX(MIN($M11*Model!$A$18+$N11,$O11)*$P11,0)</f>
        <v>41</v>
      </c>
      <c r="Z11" s="46">
        <f>MAX(MIN($M11*Model!$A$19+$N11,$O11)*$P11,0)</f>
        <v>41</v>
      </c>
      <c r="AA11" s="46">
        <f>T11*Model!$B$13+U11*Model!$B$14+V11*Model!$B$15+W11*Model!$B$16+X11*Model!$B$17+Y11*Model!$B$18+Z11*Model!$B$19</f>
        <v>31.76</v>
      </c>
      <c r="AB11" s="47">
        <v>0.75</v>
      </c>
      <c r="AC11" s="47">
        <v>0.35</v>
      </c>
      <c r="AD11" s="44" t="str">
        <f>CONCATENATE("stat(bullet_velocity;",'545-ammo'!$AE11,";",'545-ammo'!$AF11,";",'545-ammo'!$AG11,";",'545-ammo'!$AH11,")")</f>
        <v>stat(bullet_velocity;0;0.15;500;2000)</v>
      </c>
      <c r="AE11" s="47">
        <v>0.0</v>
      </c>
      <c r="AF11" s="47">
        <v>0.15</v>
      </c>
      <c r="AG11" s="49">
        <v>500.0</v>
      </c>
      <c r="AH11" s="49">
        <v>2000.0</v>
      </c>
      <c r="AI11" s="50">
        <f>Model!$B$4+IF(I11="",0,I11)</f>
        <v>1239</v>
      </c>
      <c r="AJ11" s="46">
        <f t="shared" si="1"/>
        <v>0.0739</v>
      </c>
      <c r="AK11" s="51">
        <v>67.0</v>
      </c>
      <c r="AL11" s="52" t="s">
        <v>86</v>
      </c>
      <c r="AM11" s="53">
        <f>C11*Model!$B$24+D11*Model!$B$25+E11*Model!$B$26+F11*Model!$B$27+G11*Model!$B$28+H11*Model!$B$29+I11*Model!$B$30+J11*Model!$B$31+K11*Model!$B$32+L11*Model!$B$33</f>
        <v>3.4</v>
      </c>
      <c r="AN11" s="53">
        <f>(AA11-Model!$B$5)*Model!$B$36</f>
        <v>-2.355</v>
      </c>
      <c r="AO11" s="53">
        <f>(Model!$B$6-AB11)*Model!$B$37</f>
        <v>-0.3</v>
      </c>
      <c r="AP11" s="53">
        <f>(AC11-Model!$B$7)*Model!$B$38</f>
        <v>-0.15</v>
      </c>
      <c r="AQ11" s="53">
        <f>(AJ11-Model!$B$8)*Model!$B$39</f>
        <v>-0.3044</v>
      </c>
      <c r="AR11" s="53">
        <f t="shared" si="2"/>
        <v>0.2906</v>
      </c>
    </row>
    <row r="12" ht="14.25" customHeight="1">
      <c r="A12" s="37" t="s">
        <v>103</v>
      </c>
      <c r="B12" s="37" t="s">
        <v>104</v>
      </c>
      <c r="C12" s="38">
        <v>-1.0</v>
      </c>
      <c r="D12" s="39">
        <v>-0.09</v>
      </c>
      <c r="E12" s="54">
        <v>-1.0</v>
      </c>
      <c r="F12" s="38">
        <v>-1.0</v>
      </c>
      <c r="G12" s="40">
        <v>-0.1</v>
      </c>
      <c r="H12" s="41"/>
      <c r="I12" s="38">
        <v>300.0</v>
      </c>
      <c r="J12" s="40"/>
      <c r="K12" s="42"/>
      <c r="L12" s="42">
        <v>2000.0</v>
      </c>
      <c r="M12" s="43">
        <v>-0.062</v>
      </c>
      <c r="N12" s="43">
        <v>37.0</v>
      </c>
      <c r="O12" s="43">
        <v>36.5</v>
      </c>
      <c r="P12" s="43">
        <v>1.0</v>
      </c>
      <c r="Q12" s="44">
        <v>0.3</v>
      </c>
      <c r="R12" s="44">
        <v>0.5</v>
      </c>
      <c r="S12" s="44">
        <v>3.0</v>
      </c>
      <c r="T12" s="46">
        <f>MAX(MIN($M12*Model!$A$13+$N12,$O12)*$P12,0)</f>
        <v>35.45</v>
      </c>
      <c r="U12" s="46">
        <f>MAX(MIN($M12*Model!$A$14+$N12,$O12)*$P12,0)</f>
        <v>32.35</v>
      </c>
      <c r="V12" s="46">
        <f>MAX(MIN($M12*Model!$A$15+$N12,$O12)*$P12,0)</f>
        <v>27.7</v>
      </c>
      <c r="W12" s="46">
        <f>MAX(MIN($M12*Model!$A$16+$N12,$O12)*$P12,0)</f>
        <v>21.5</v>
      </c>
      <c r="X12" s="46">
        <f>MAX(MIN($M12*Model!$A$17+$N12,$O12)*$P12,0)</f>
        <v>36.5</v>
      </c>
      <c r="Y12" s="46">
        <f>MAX(MIN($M12*Model!$A$18+$N12,$O12)*$P12,0)</f>
        <v>36.5</v>
      </c>
      <c r="Z12" s="46">
        <f>MAX(MIN($M12*Model!$A$19+$N12,$O12)*$P12,0)</f>
        <v>36.5</v>
      </c>
      <c r="AA12" s="46">
        <f>T12*Model!$B$13+U12*Model!$B$14+V12*Model!$B$15+W12*Model!$B$16+X12*Model!$B$17+Y12*Model!$B$18+Z12*Model!$B$19</f>
        <v>30.49</v>
      </c>
      <c r="AB12" s="47">
        <v>0.65</v>
      </c>
      <c r="AC12" s="47">
        <v>0.3</v>
      </c>
      <c r="AD12" s="44" t="str">
        <f>CONCATENATE("stat(bullet_velocity;",'545-ammo'!$AE12,";",'545-ammo'!$AF12,";",'545-ammo'!$AG12,";",'545-ammo'!$AH12,")")</f>
        <v>stat(bullet_velocity;0.1;0.6;500;2000)</v>
      </c>
      <c r="AE12" s="47">
        <v>0.1</v>
      </c>
      <c r="AF12" s="47">
        <v>0.6</v>
      </c>
      <c r="AG12" s="49">
        <v>500.0</v>
      </c>
      <c r="AH12" s="49">
        <v>2000.0</v>
      </c>
      <c r="AI12" s="50">
        <f>Model!$B$4+IF(I12="",0,I12)</f>
        <v>1439</v>
      </c>
      <c r="AJ12" s="46">
        <f t="shared" si="1"/>
        <v>0.413</v>
      </c>
      <c r="AK12" s="51">
        <v>66.0</v>
      </c>
      <c r="AL12" s="52" t="s">
        <v>86</v>
      </c>
      <c r="AM12" s="53">
        <f>C12*Model!$B$24+D12*Model!$B$25+E12*Model!$B$26+F12*Model!$B$27+G12*Model!$B$28+H12*Model!$B$29+I12*Model!$B$30+J12*Model!$B$31+K12*Model!$B$32+L12*Model!$B$33</f>
        <v>4.7</v>
      </c>
      <c r="AN12" s="53">
        <f>(AA12-Model!$B$5)*Model!$B$36</f>
        <v>-4.26</v>
      </c>
      <c r="AO12" s="53">
        <f>(Model!$B$6-AB12)*Model!$B$37</f>
        <v>-0.1</v>
      </c>
      <c r="AP12" s="53">
        <f>(AC12-Model!$B$7)*Model!$B$38</f>
        <v>-0.3</v>
      </c>
      <c r="AQ12" s="53">
        <f>(AJ12-Model!$B$8)*Model!$B$39</f>
        <v>1.052</v>
      </c>
      <c r="AR12" s="53">
        <f t="shared" si="2"/>
        <v>1.092</v>
      </c>
    </row>
    <row r="13" ht="14.25" customHeight="1">
      <c r="A13" s="56" t="s">
        <v>105</v>
      </c>
      <c r="B13" s="56" t="s">
        <v>106</v>
      </c>
      <c r="C13" s="59">
        <v>-2.0</v>
      </c>
      <c r="D13" s="58">
        <v>-0.12</v>
      </c>
      <c r="E13" s="59">
        <v>-1.0</v>
      </c>
      <c r="F13" s="57">
        <v>0.0</v>
      </c>
      <c r="G13" s="58">
        <v>-0.15</v>
      </c>
      <c r="H13" s="61"/>
      <c r="I13" s="59">
        <v>500.0</v>
      </c>
      <c r="J13" s="60"/>
      <c r="K13" s="62"/>
      <c r="L13" s="62">
        <v>2500.0</v>
      </c>
      <c r="M13" s="64">
        <v>-0.058</v>
      </c>
      <c r="N13" s="64">
        <v>36.5</v>
      </c>
      <c r="O13" s="64">
        <v>35.5</v>
      </c>
      <c r="P13" s="64">
        <v>1.0</v>
      </c>
      <c r="Q13" s="45">
        <v>0.25</v>
      </c>
      <c r="R13" s="45">
        <v>0.45</v>
      </c>
      <c r="S13" s="44">
        <v>3.0</v>
      </c>
      <c r="T13" s="65">
        <f>MAX(MIN($M13*Model!$A$13+$N13,$O13)*$P13,0)</f>
        <v>35.05</v>
      </c>
      <c r="U13" s="65">
        <f>MAX(MIN($M13*Model!$A$14+$N13,$O13)*$P13,0)</f>
        <v>32.15</v>
      </c>
      <c r="V13" s="65">
        <f>MAX(MIN($M13*Model!$A$15+$N13,$O13)*$P13,0)</f>
        <v>27.8</v>
      </c>
      <c r="W13" s="65">
        <f>MAX(MIN($M13*Model!$A$16+$N13,$O13)*$P13,0)</f>
        <v>22</v>
      </c>
      <c r="X13" s="65">
        <f>MAX(MIN($M13*Model!$A$17+$N13,$O13)*$P13,0)</f>
        <v>35.5</v>
      </c>
      <c r="Y13" s="65">
        <f>MAX(MIN($M13*Model!$A$18+$N13,$O13)*$P13,0)</f>
        <v>35.5</v>
      </c>
      <c r="Z13" s="65">
        <f>MAX(MIN($M13*Model!$A$19+$N13,$O13)*$P13,0)</f>
        <v>35.5</v>
      </c>
      <c r="AA13" s="65">
        <f>T13*Model!$B$13+U13*Model!$B$14+V13*Model!$B$15+W13*Model!$B$16+X13*Model!$B$17+Y13*Model!$B$18+Z13*Model!$B$19</f>
        <v>30.41</v>
      </c>
      <c r="AB13" s="66">
        <v>0.7</v>
      </c>
      <c r="AC13" s="66">
        <v>0.3</v>
      </c>
      <c r="AD13" s="44" t="str">
        <f>CONCATENATE("stat(bullet_velocity;",'545-ammo'!$AE13,";",'545-ammo'!$AF13,";",'545-ammo'!$AG13,";",'545-ammo'!$AH13,")")</f>
        <v>stat(bullet_velocity;0.15;0.65;500;2000)</v>
      </c>
      <c r="AE13" s="66">
        <v>0.15</v>
      </c>
      <c r="AF13" s="66">
        <v>0.65</v>
      </c>
      <c r="AG13" s="49">
        <v>500.0</v>
      </c>
      <c r="AH13" s="49">
        <v>2000.0</v>
      </c>
      <c r="AI13" s="67">
        <f>Model!$B$4+IF(I13="",0,I13)</f>
        <v>1639</v>
      </c>
      <c r="AJ13" s="65">
        <f t="shared" si="1"/>
        <v>0.5296666667</v>
      </c>
      <c r="AK13" s="68">
        <v>68.0</v>
      </c>
      <c r="AL13" s="69" t="s">
        <v>86</v>
      </c>
      <c r="AM13" s="53">
        <f>C13*Model!$B$24+D13*Model!$B$25+E13*Model!$B$26+F13*Model!$B$27+G13*Model!$B$28+H13*Model!$B$29+I13*Model!$B$30+J13*Model!$B$31+K13*Model!$B$32+L13*Model!$B$33</f>
        <v>5.2</v>
      </c>
      <c r="AN13" s="70">
        <f>(AA13-Model!$B$5)*Model!$B$36</f>
        <v>-4.38</v>
      </c>
      <c r="AO13" s="70">
        <f>(Model!$B$6-AB13)*Model!$B$37</f>
        <v>-0.2</v>
      </c>
      <c r="AP13" s="70">
        <f>(AC13-Model!$B$7)*Model!$B$38</f>
        <v>-0.3</v>
      </c>
      <c r="AQ13" s="70">
        <f>(AJ13-Model!$B$8)*Model!$B$39</f>
        <v>1.518666667</v>
      </c>
      <c r="AR13" s="70">
        <f t="shared" si="2"/>
        <v>1.838666667</v>
      </c>
    </row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7">
    <mergeCell ref="A1:L1"/>
    <mergeCell ref="M1:P1"/>
    <mergeCell ref="T1:AA1"/>
    <mergeCell ref="AB1:AH1"/>
    <mergeCell ref="AI1:AJ1"/>
    <mergeCell ref="AK1:AL1"/>
    <mergeCell ref="AM1:AR1"/>
  </mergeCells>
  <conditionalFormatting sqref="AR3:AR13">
    <cfRule type="colorScale" priority="1">
      <colorScale>
        <cfvo type="min"/>
        <cfvo type="percentile" val="50"/>
        <cfvo type="max"/>
        <color rgb="FFF8D7DA"/>
        <color rgb="FFFFF3CD"/>
        <color rgb="FFD1E7DD"/>
      </colorScale>
    </cfRule>
  </conditionalFormatting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0"/>
    <col customWidth="1" min="2" max="2" width="16.0"/>
    <col customWidth="1" min="3" max="3" width="42.0"/>
    <col customWidth="1" min="4" max="26" width="8.63"/>
  </cols>
  <sheetData>
    <row r="1" ht="31.5" customHeight="1">
      <c r="A1" s="1" t="s">
        <v>0</v>
      </c>
      <c r="B1" s="2"/>
      <c r="C1" s="3"/>
    </row>
    <row r="2" ht="14.25" customHeight="1">
      <c r="A2" s="4"/>
      <c r="B2" s="4"/>
      <c r="C2" s="4"/>
    </row>
    <row r="3" ht="14.25" customHeight="1">
      <c r="A3" s="5" t="s">
        <v>1</v>
      </c>
      <c r="B3" s="5" t="s">
        <v>2</v>
      </c>
      <c r="C3" s="5" t="s">
        <v>3</v>
      </c>
    </row>
    <row r="4" ht="14.25" customHeight="1">
      <c r="A4" s="6" t="s">
        <v>4</v>
      </c>
      <c r="B4" s="7">
        <v>1139.0</v>
      </c>
      <c r="C4" s="8" t="s">
        <v>5</v>
      </c>
    </row>
    <row r="5" ht="14.25" customHeight="1">
      <c r="A5" s="9" t="s">
        <v>6</v>
      </c>
      <c r="B5" s="10">
        <v>33.33</v>
      </c>
      <c r="C5" s="8" t="s">
        <v>7</v>
      </c>
    </row>
    <row r="6" ht="14.25" customHeight="1">
      <c r="A6" s="9" t="s">
        <v>8</v>
      </c>
      <c r="B6" s="11">
        <v>0.6</v>
      </c>
      <c r="C6" s="8" t="s">
        <v>9</v>
      </c>
    </row>
    <row r="7" ht="14.25" customHeight="1">
      <c r="A7" s="9" t="s">
        <v>11</v>
      </c>
      <c r="B7" s="11">
        <v>0.4</v>
      </c>
      <c r="C7" s="8" t="s">
        <v>12</v>
      </c>
    </row>
    <row r="8" ht="14.25" customHeight="1">
      <c r="A8" s="9" t="s">
        <v>13</v>
      </c>
      <c r="B8" s="11">
        <v>0.15</v>
      </c>
      <c r="C8" s="8" t="s">
        <v>12</v>
      </c>
    </row>
    <row r="9" ht="14.25" customHeight="1">
      <c r="A9" s="8"/>
      <c r="B9" s="8"/>
      <c r="C9" s="8"/>
    </row>
    <row r="10" ht="14.25" customHeight="1">
      <c r="A10" s="13" t="s">
        <v>14</v>
      </c>
      <c r="B10" s="14"/>
      <c r="C10" s="15"/>
    </row>
    <row r="11" ht="14.25" customHeight="1">
      <c r="A11" s="8"/>
      <c r="B11" s="8"/>
      <c r="C11" s="8"/>
    </row>
    <row r="12" ht="14.25" customHeight="1">
      <c r="A12" s="17" t="s">
        <v>16</v>
      </c>
      <c r="B12" s="17" t="s">
        <v>17</v>
      </c>
      <c r="C12" s="17" t="s">
        <v>18</v>
      </c>
    </row>
    <row r="13" ht="14.25" customHeight="1">
      <c r="A13" s="19">
        <v>25.0</v>
      </c>
      <c r="B13" s="20">
        <v>0.3</v>
      </c>
      <c r="C13" s="19" t="s">
        <v>19</v>
      </c>
    </row>
    <row r="14" ht="14.25" customHeight="1">
      <c r="A14" s="19">
        <v>75.0</v>
      </c>
      <c r="B14" s="20">
        <v>0.3</v>
      </c>
      <c r="C14" s="19" t="s">
        <v>19</v>
      </c>
    </row>
    <row r="15" ht="14.25" customHeight="1">
      <c r="A15" s="19">
        <v>150.0</v>
      </c>
      <c r="B15" s="20">
        <v>0.25</v>
      </c>
      <c r="C15" s="19" t="s">
        <v>21</v>
      </c>
    </row>
    <row r="16" ht="14.25" customHeight="1">
      <c r="A16" s="19">
        <v>250.0</v>
      </c>
      <c r="B16" s="20">
        <v>0.15</v>
      </c>
      <c r="C16" s="19" t="s">
        <v>22</v>
      </c>
    </row>
    <row r="17" ht="14.25" customHeight="1">
      <c r="A17" s="22">
        <v>0.0</v>
      </c>
      <c r="B17" s="23">
        <v>0.0</v>
      </c>
      <c r="C17" s="19" t="s">
        <v>24</v>
      </c>
    </row>
    <row r="18" ht="14.25" customHeight="1">
      <c r="A18" s="22">
        <v>0.0</v>
      </c>
      <c r="B18" s="23">
        <v>0.0</v>
      </c>
      <c r="C18" s="19" t="s">
        <v>25</v>
      </c>
    </row>
    <row r="19" ht="14.25" customHeight="1">
      <c r="A19" s="22">
        <v>0.0</v>
      </c>
      <c r="B19" s="23">
        <v>0.0</v>
      </c>
      <c r="C19" s="19" t="s">
        <v>27</v>
      </c>
    </row>
    <row r="20" ht="14.25" customHeight="1">
      <c r="A20" s="19" t="s">
        <v>28</v>
      </c>
      <c r="B20" s="23">
        <f>SUM(B13:B19)</f>
        <v>1</v>
      </c>
      <c r="C20" s="19"/>
    </row>
    <row r="21" ht="14.25" customHeight="1">
      <c r="A21" s="8"/>
      <c r="B21" s="8"/>
      <c r="C21" s="8"/>
    </row>
    <row r="22" ht="14.25" customHeight="1">
      <c r="A22" s="13" t="s">
        <v>32</v>
      </c>
      <c r="B22" s="14"/>
      <c r="C22" s="15"/>
    </row>
    <row r="23" ht="14.25" customHeight="1">
      <c r="A23" s="17" t="s">
        <v>33</v>
      </c>
      <c r="B23" s="17" t="s">
        <v>17</v>
      </c>
      <c r="C23" s="17" t="s">
        <v>34</v>
      </c>
    </row>
    <row r="24" ht="14.25" customHeight="1">
      <c r="A24" s="19" t="s">
        <v>35</v>
      </c>
      <c r="B24" s="27">
        <v>1.0</v>
      </c>
      <c r="C24" s="19" t="s">
        <v>12</v>
      </c>
    </row>
    <row r="25" ht="14.25" customHeight="1">
      <c r="A25" s="19" t="s">
        <v>36</v>
      </c>
      <c r="B25" s="27">
        <v>-20.0</v>
      </c>
      <c r="C25" s="19" t="s">
        <v>9</v>
      </c>
    </row>
    <row r="26" ht="14.25" customHeight="1">
      <c r="A26" s="19" t="s">
        <v>38</v>
      </c>
      <c r="B26" s="27">
        <v>-0.8</v>
      </c>
      <c r="C26" s="19" t="s">
        <v>9</v>
      </c>
    </row>
    <row r="27" ht="14.25" customHeight="1">
      <c r="A27" s="19" t="s">
        <v>39</v>
      </c>
      <c r="B27" s="27">
        <v>-0.6</v>
      </c>
      <c r="C27" s="19" t="s">
        <v>9</v>
      </c>
    </row>
    <row r="28" ht="14.25" customHeight="1">
      <c r="A28" s="19" t="s">
        <v>40</v>
      </c>
      <c r="B28" s="27">
        <v>-10.0</v>
      </c>
      <c r="C28" s="19" t="s">
        <v>9</v>
      </c>
    </row>
    <row r="29" ht="14.25" customHeight="1">
      <c r="A29" s="19" t="s">
        <v>41</v>
      </c>
      <c r="B29" s="27">
        <v>10.0</v>
      </c>
      <c r="C29" s="19" t="s">
        <v>42</v>
      </c>
    </row>
    <row r="30" ht="14.25" customHeight="1">
      <c r="A30" s="19" t="s">
        <v>43</v>
      </c>
      <c r="B30" s="29">
        <v>0.005</v>
      </c>
      <c r="C30" s="19" t="str">
        <f>CONCAT("1 point per +", 1/B30, " vel")</f>
        <v>#N/A</v>
      </c>
    </row>
    <row r="31" ht="14.25" customHeight="1">
      <c r="A31" s="19" t="s">
        <v>44</v>
      </c>
      <c r="B31" s="27">
        <v>10.0</v>
      </c>
      <c r="C31" s="19" t="s">
        <v>42</v>
      </c>
    </row>
    <row r="32" ht="14.25" customHeight="1">
      <c r="A32" s="22" t="s">
        <v>45</v>
      </c>
      <c r="B32" s="30">
        <v>-5.0</v>
      </c>
      <c r="C32" s="19"/>
    </row>
    <row r="33" ht="14.25" customHeight="1">
      <c r="A33" s="19" t="s">
        <v>46</v>
      </c>
      <c r="B33" s="27">
        <v>0.0</v>
      </c>
      <c r="C33" s="19" t="s">
        <v>47</v>
      </c>
    </row>
    <row r="34" ht="14.25" customHeight="1">
      <c r="A34" s="8"/>
      <c r="B34" s="32"/>
      <c r="C34" s="8"/>
    </row>
    <row r="35" ht="14.25" customHeight="1">
      <c r="A35" s="13" t="s">
        <v>48</v>
      </c>
      <c r="B35" s="14"/>
      <c r="C35" s="15"/>
    </row>
    <row r="36" ht="14.25" customHeight="1">
      <c r="A36" s="33" t="s">
        <v>50</v>
      </c>
      <c r="B36" s="34">
        <v>1.5</v>
      </c>
      <c r="C36" s="33" t="s">
        <v>53</v>
      </c>
    </row>
    <row r="37" ht="14.25" customHeight="1">
      <c r="A37" s="33" t="s">
        <v>54</v>
      </c>
      <c r="B37" s="34">
        <v>2.0</v>
      </c>
      <c r="C37" s="33" t="s">
        <v>56</v>
      </c>
    </row>
    <row r="38" ht="14.25" customHeight="1">
      <c r="A38" s="33" t="s">
        <v>57</v>
      </c>
      <c r="B38" s="34">
        <v>3.0</v>
      </c>
      <c r="C38" s="33" t="s">
        <v>59</v>
      </c>
    </row>
    <row r="39" ht="14.25" customHeight="1">
      <c r="A39" s="35" t="s">
        <v>61</v>
      </c>
      <c r="B39" s="36">
        <v>4.0</v>
      </c>
      <c r="C39" s="35" t="s">
        <v>59</v>
      </c>
    </row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4">
    <mergeCell ref="A1:C1"/>
    <mergeCell ref="A10:C10"/>
    <mergeCell ref="A22:C22"/>
    <mergeCell ref="A35:C35"/>
  </mergeCells>
  <printOptions/>
  <pageMargins bottom="0.75" footer="0.0" header="0.0" left="0.7" right="0.7" top="0.75"/>
  <pageSetup orientation="landscape"/>
  <drawing r:id="rId2"/>
  <legacyDrawing r:id="rId3"/>
</worksheet>
</file>