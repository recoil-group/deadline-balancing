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6443B8D6-9B6D-4376-A5B0-DDF26B9A7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mm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N42" i="1"/>
  <c r="N43" i="1"/>
  <c r="N45" i="1"/>
  <c r="N46" i="1"/>
  <c r="N47" i="1"/>
  <c r="N48" i="1"/>
  <c r="N49" i="1"/>
  <c r="N50" i="1"/>
  <c r="N4" i="1"/>
  <c r="N5" i="1"/>
  <c r="N6" i="1"/>
  <c r="N7" i="1"/>
  <c r="N9" i="1"/>
  <c r="N10" i="1"/>
  <c r="N12" i="1"/>
  <c r="N13" i="1"/>
  <c r="N15" i="1"/>
  <c r="N16" i="1"/>
  <c r="N17" i="1"/>
  <c r="N18" i="1"/>
  <c r="N19" i="1"/>
  <c r="N20" i="1"/>
  <c r="N21" i="1"/>
  <c r="N23" i="1"/>
  <c r="N24" i="1"/>
  <c r="N26" i="1"/>
  <c r="N27" i="1"/>
  <c r="N29" i="1"/>
  <c r="N30" i="1"/>
  <c r="N32" i="1"/>
  <c r="N33" i="1"/>
  <c r="N35" i="1"/>
  <c r="N36" i="1"/>
  <c r="N37" i="1"/>
  <c r="N38" i="1"/>
  <c r="N39" i="1"/>
  <c r="V3" i="1"/>
  <c r="V4" i="1"/>
  <c r="V5" i="1"/>
  <c r="V6" i="1"/>
  <c r="V7" i="1"/>
  <c r="V8" i="1"/>
  <c r="V9" i="1"/>
  <c r="V10" i="1"/>
  <c r="V11" i="1"/>
  <c r="V12" i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V23" i="1"/>
  <c r="V24" i="1"/>
  <c r="V25" i="1"/>
  <c r="V26" i="1"/>
  <c r="V27" i="1"/>
  <c r="V28" i="1"/>
  <c r="V29" i="1"/>
  <c r="V30" i="1"/>
  <c r="V31" i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W6" i="1"/>
  <c r="W22" i="1"/>
  <c r="W7" i="1"/>
  <c r="W11" i="1"/>
  <c r="W12" i="1"/>
  <c r="W28" i="1"/>
  <c r="W8" i="1"/>
  <c r="W9" i="1"/>
  <c r="W10" i="1"/>
  <c r="W31" i="1"/>
  <c r="W4" i="1"/>
  <c r="W5" i="1"/>
  <c r="W25" i="1"/>
  <c r="W3" i="1"/>
  <c r="W23" i="1"/>
  <c r="W24" i="1"/>
  <c r="W26" i="1"/>
  <c r="W27" i="1"/>
  <c r="W29" i="1"/>
  <c r="W3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</calcChain>
</file>

<file path=xl/sharedStrings.xml><?xml version="1.0" encoding="utf-8"?>
<sst xmlns="http://schemas.openxmlformats.org/spreadsheetml/2006/main" count="94" uniqueCount="94">
  <si>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</si>
  <si>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</si>
  <si>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</si>
  <si>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</si>
  <si>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</si>
  <si>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</si>
  <si>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</si>
  <si>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</si>
  <si>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</si>
  <si>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</si>
  <si>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</si>
  <si>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</si>
  <si>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</si>
  <si>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</si>
  <si>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</si>
  <si>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base</t>
  </si>
  <si>
    <t>length</t>
  </si>
  <si>
    <t>mod</t>
  </si>
  <si>
    <t>dmg</t>
  </si>
  <si>
    <t>irl price</t>
  </si>
  <si>
    <t>kosch_9x19_114mm_barrel</t>
  </si>
  <si>
    <t>KOSCH 9x19 114mm Barrel</t>
  </si>
  <si>
    <t>sig_sauer_p320_compact_3.9inch_9x19_barrel</t>
  </si>
  <si>
    <t>Sic Stürmer Compact-Size 3.9" 9x19</t>
  </si>
  <si>
    <t>sig_sauer_p320_compact_4.6inch_threaded_9x19_barrel</t>
  </si>
  <si>
    <t>Sic Stürmer Compact-Size 4.6" Threaded 9x19</t>
  </si>
  <si>
    <t>sig_sauer_p320_full_4.7inch_9x19_barrel</t>
  </si>
  <si>
    <t>Sic Stürmer Full-Size 4.7" 9x19</t>
  </si>
  <si>
    <t>sig_sauer_p320_full_5.5inch_threaded_9x19_barrel</t>
  </si>
  <si>
    <t>Sic Stürmer Full-Size 5.5" Threaded 9x19</t>
  </si>
  <si>
    <t>whitner_defense_edc_x9_102mm_9x19_barrel</t>
  </si>
  <si>
    <t>Whitner Defense EDC X9 102mm 9x19</t>
  </si>
  <si>
    <t>whitner_defense_edc_x9_127mm_threaded_9x19_barrel</t>
  </si>
  <si>
    <t>Whitner Defense EDC X9 127mm Threaded 9x19</t>
  </si>
  <si>
    <t>hk_mp5_9x19_225mm_barrel</t>
  </si>
  <si>
    <t>MPi-54 225mm 9x19</t>
  </si>
  <si>
    <t>hk_mp5sd_9x19_146mm_barrel</t>
  </si>
  <si>
    <t>MPi-54SD 146mm 9x19</t>
  </si>
  <si>
    <t>bnb_value_line_light_tapered_melonite_ar9_76mm_9x19_barrel</t>
  </si>
  <si>
    <t>KAK Value Line Light Tapered Melonite AR9 3" 9x19</t>
  </si>
  <si>
    <t>cmmg_mk9_127mm_9x19_barrel</t>
  </si>
  <si>
    <t>CmmG Mk9 5" 9x19</t>
  </si>
  <si>
    <t>cmmg_mk9_216mm_9x19_barrel</t>
  </si>
  <si>
    <t>CmmG Mk9 8.5" 9x19</t>
  </si>
  <si>
    <t>cmmg_mk9_229mm_9x19_barrel</t>
  </si>
  <si>
    <t>CmmG Mk9 9" 9x19</t>
  </si>
  <si>
    <t>cmmg_mk9_406mm_9x19_c_barrel</t>
  </si>
  <si>
    <t>CmmG Mk9 16" 9x19 Carbine Length</t>
  </si>
  <si>
    <t>cmmg_mk9_406mm_9x19_m_barrel</t>
  </si>
  <si>
    <t>CmmG Mk9 16" 9x19 Mid Length</t>
  </si>
  <si>
    <t>cmmg_mk9_406mm_9x19_r_barrel</t>
  </si>
  <si>
    <t>CmmG Mk9 16" 9x19 Rifle Length</t>
  </si>
  <si>
    <t>kazarov_pp-19-01_238mm_9x19_barrel</t>
  </si>
  <si>
    <t>Kazarov PP-19-01 Vityaz 238mm 9x19</t>
  </si>
  <si>
    <t>kazarov_saiga_9_345mm_9x19_barrel</t>
  </si>
  <si>
    <t>Kazarov Saiga-9 345mm 9x19</t>
  </si>
  <si>
    <t>steyr_aug_para_9x19_420mm_barrel</t>
  </si>
  <si>
    <t>Löwenherz AUG Para 9x19 420mm</t>
  </si>
  <si>
    <t>steyr_aug_para_9x19_325mm_threaded_barrel</t>
  </si>
  <si>
    <t>Löwenherz AUG Para 9x19 325mm Threaded</t>
  </si>
  <si>
    <t>hk_ump9_200mm_flanged_barrel</t>
  </si>
  <si>
    <t>UMC-9 200mm 9x19 Flanged</t>
  </si>
  <si>
    <t>hk_ump9_200mm_trilug_threaded_barrel</t>
  </si>
  <si>
    <t>UMC-9 200mm 9x19 Tri-Lug Threaded</t>
  </si>
  <si>
    <t>vector_9mm_140mm_barrel</t>
  </si>
  <si>
    <t>KALIS Scalar 9x19 140mm</t>
  </si>
  <si>
    <t>vector_9mm_170mm_barrel</t>
  </si>
  <si>
    <t>KALIS Scalar 9x19 170mm</t>
  </si>
  <si>
    <t>kosch_10mm_114mm_barrel</t>
  </si>
  <si>
    <t>vai_9x19_114mm_kosch_match_grade_fluted_barrel</t>
  </si>
  <si>
    <t>VAI 9x19 114mm KOSCH Match Grade Fluted</t>
  </si>
  <si>
    <t>vai_9x19_127mm_kosch_match_grade_fluted_threaded_barrel</t>
  </si>
  <si>
    <t>VAI 9x19 127mm KOSCH Match Grade Fluted Threaded</t>
  </si>
  <si>
    <t>ardian_9x19_127mm_kosch_scramjet_barrel</t>
  </si>
  <si>
    <t>Ardian 9x19 127mm KOSCH Scramjet</t>
  </si>
  <si>
    <t>krb_9x19_406mm_kosch_match_grade_polygonal_threaded_barrel</t>
  </si>
  <si>
    <t>KRB Austria 9x19 406mm KOSCH Match Grade Polygonal Threaded</t>
  </si>
  <si>
    <t>sic_sturmer_p229_oem_3.9inch_9x19_barrel</t>
  </si>
  <si>
    <t>Sic Stürmer P229 OEM 3.9" 9x19</t>
  </si>
  <si>
    <t>sic_sturmer_p229_oem_4.4inch_threaded_9x19_barrel</t>
  </si>
  <si>
    <t>Sic Stürmer P229 OEM 4.4" Threaded 9x19</t>
  </si>
  <si>
    <t>val_bor_p229_4.4inch_threaded_9x19_barrel</t>
  </si>
  <si>
    <t>VAL-BOR P229 4.4" Threaded Match Grade 9x19</t>
  </si>
  <si>
    <t>sic_sturmer_p226_oem_4.4inch_9x19_barrel</t>
  </si>
  <si>
    <t>Sic Stürmer P226 OEM 4.4" 9x19</t>
  </si>
  <si>
    <t>sic_sturmer_p226_oem_5inch_threaded_9x19_barrel</t>
  </si>
  <si>
    <t>Sic Stürmer P226 OEM 5" 9x19</t>
  </si>
  <si>
    <t>suppressors_inc_p226_5inch_threaded_9x19_barrel</t>
  </si>
  <si>
    <t>Suppressors Inc. P226 5" Threaded 9x19</t>
  </si>
  <si>
    <t>KOSCH 10mm Auto 114mm</t>
  </si>
  <si>
    <t>krn_10mm_117mm_kosch_match_barrel</t>
  </si>
  <si>
    <t>KRN Precision 10mm Auto 117mm KOSCH Match Grade</t>
  </si>
  <si>
    <t>krn_10mm_132mm_kosch_match_threaded_barrel</t>
  </si>
  <si>
    <t>KRN Precision 10mm Auto 132mm KOSCH Match 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</si>
</sst>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A22" workbookViewId="0">
      <selection activeCell="J43" sqref="J43"/>
    </sheetView>
  </sheetViews>
  <sheetFormatPr defaultColWidth="8.7109375" defaultRowHeight="15" x14ac:dyDescent="0.25"/>
  <cols>
    <col min="1" max="1" width="13.140625" customWidth="1"/>
    <col min="2" max="2" width="45.85546875" customWidth="1"/>
    <col min="22" max="23" width="8.7109375" style="1"/>
  </cols>
  <sheetData>
    <row r="1" spans="1:23" x14ac:dyDescent="0.25">
      <c r="C1" t="s">
        <v>0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P2" t="s">
        <v>15</v>
      </c>
      <c r="Q2" t="s">
        <v>16</v>
      </c>
      <c r="R2" t="s">
        <v>17</v>
      </c>
      <c r="T2" t="s">
        <v>18</v>
      </c>
      <c r="U2" t="s">
        <v>19</v>
      </c>
    </row>
    <row r="3" spans="1:23" x14ac:dyDescent="0.25">
      <c r="S3">
        <f t="shared" ref="S3:S38" si="0">ROUND(Q3*0.024+P3+R3,2)</f>
        <v>0</v>
      </c>
      <c r="T3">
        <f t="shared" ref="T3:T38" si="1">ROUND((Q3-5)*0.09/11, 2)</f>
        <v>-0.04</v>
      </c>
      <c r="V3" s="1">
        <f t="shared" ref="V3:V38" si="2">(Q3-6)*35</f>
        <v>-210</v>
      </c>
      <c r="W3" s="1">
        <f t="shared" ref="W3:W38" si="3">V3+1200</f>
        <v>990</v>
      </c>
    </row>
    <row r="4" spans="1:23" x14ac:dyDescent="0.25">
      <c r="A4" t="s">
        <v>22</v>
      </c>
      <c r="B4" t="s">
        <v>23</v>
      </c>
      <c r="C4">
        <v>4</v>
      </c>
      <c r="D4">
        <v>0.09</v>
      </c>
      <c r="E4">
        <v>3</v>
      </c>
      <c r="F4">
        <v>3</v>
      </c>
      <c r="H4">
        <v>0.1</v>
      </c>
      <c r="I4">
        <v>-0.02</v>
      </c>
      <c r="J4">
        <v>-70</v>
      </c>
      <c r="M4">
        <v>1000</v>
      </c>
      <c r="N4">
        <f t="shared" ref="N4:N50" si="4">C4-D4*20-E4*0.8-F4*0.6-H4*5+I4*10+J4/300+G4/1.3</f>
        <v>-2.9333333333333336</v>
      </c>
      <c r="P4">
        <v>0</v>
      </c>
      <c r="Q4">
        <v>3.9</v>
      </c>
      <c r="S4">
        <f t="shared" si="0"/>
        <v>0.09</v>
      </c>
      <c r="T4">
        <f t="shared" si="1"/>
        <v>-0.01</v>
      </c>
      <c r="V4" s="1">
        <f t="shared" si="2"/>
        <v>-73.5</v>
      </c>
      <c r="W4" s="1">
        <f t="shared" si="3"/>
        <v>1126.5</v>
      </c>
    </row>
    <row r="5" spans="1:23" x14ac:dyDescent="0.25">
      <c r="A5" t="s">
        <v>24</v>
      </c>
      <c r="B5" t="s">
        <v>25</v>
      </c>
      <c r="C5">
        <v>1</v>
      </c>
      <c r="D5">
        <v>0.11</v>
      </c>
      <c r="E5">
        <v>1</v>
      </c>
      <c r="F5">
        <v>1</v>
      </c>
      <c r="H5">
        <v>0.05</v>
      </c>
      <c r="I5">
        <v>0</v>
      </c>
      <c r="J5">
        <v>-50</v>
      </c>
      <c r="M5">
        <v>3000</v>
      </c>
      <c r="N5">
        <f t="shared" si="4"/>
        <v>-3.0166666666666666</v>
      </c>
      <c r="P5">
        <v>0</v>
      </c>
      <c r="Q5">
        <v>4.5999999999999996</v>
      </c>
      <c r="S5">
        <f t="shared" si="0"/>
        <v>0.11</v>
      </c>
      <c r="T5">
        <f t="shared" si="1"/>
        <v>0</v>
      </c>
      <c r="V5" s="1">
        <f t="shared" si="2"/>
        <v>-49.000000000000014</v>
      </c>
      <c r="W5" s="1">
        <f t="shared" si="3"/>
        <v>1151</v>
      </c>
    </row>
    <row r="6" spans="1:23" x14ac:dyDescent="0.25">
      <c r="A6" t="s">
        <v>26</v>
      </c>
      <c r="B6" t="s">
        <v>27</v>
      </c>
      <c r="C6">
        <v>0</v>
      </c>
      <c r="D6">
        <v>0.11</v>
      </c>
      <c r="E6">
        <v>0</v>
      </c>
      <c r="F6">
        <v>0</v>
      </c>
      <c r="H6">
        <v>0</v>
      </c>
      <c r="I6">
        <v>0</v>
      </c>
      <c r="J6">
        <v>-46</v>
      </c>
      <c r="M6">
        <v>0</v>
      </c>
      <c r="N6">
        <f t="shared" si="4"/>
        <v>-2.3533333333333335</v>
      </c>
      <c r="P6">
        <v>0</v>
      </c>
      <c r="Q6">
        <v>4.7</v>
      </c>
      <c r="S6">
        <f t="shared" si="0"/>
        <v>0.11</v>
      </c>
      <c r="T6">
        <f t="shared" si="1"/>
        <v>0</v>
      </c>
      <c r="V6" s="1">
        <f t="shared" si="2"/>
        <v>-45.499999999999993</v>
      </c>
      <c r="W6" s="1">
        <f t="shared" si="3"/>
        <v>1154.5</v>
      </c>
    </row>
    <row r="7" spans="1:23" x14ac:dyDescent="0.25">
      <c r="A7" t="s">
        <v>28</v>
      </c>
      <c r="B7" t="s">
        <v>29</v>
      </c>
      <c r="C7">
        <v>-3</v>
      </c>
      <c r="D7">
        <v>0.13</v>
      </c>
      <c r="E7">
        <v>-1</v>
      </c>
      <c r="F7">
        <v>-1</v>
      </c>
      <c r="H7">
        <v>-0.1</v>
      </c>
      <c r="I7">
        <v>0.02</v>
      </c>
      <c r="J7">
        <v>-20</v>
      </c>
      <c r="M7">
        <v>1500</v>
      </c>
      <c r="N7">
        <f t="shared" si="4"/>
        <v>-3.5666666666666669</v>
      </c>
      <c r="P7">
        <v>0</v>
      </c>
      <c r="Q7">
        <v>5.5</v>
      </c>
      <c r="S7">
        <f t="shared" si="0"/>
        <v>0.13</v>
      </c>
      <c r="T7">
        <f t="shared" si="1"/>
        <v>0</v>
      </c>
      <c r="V7" s="1">
        <f t="shared" si="2"/>
        <v>-17.5</v>
      </c>
      <c r="W7" s="1">
        <f t="shared" si="3"/>
        <v>1182.5</v>
      </c>
    </row>
    <row r="8" spans="1:23" x14ac:dyDescent="0.25">
      <c r="S8">
        <f t="shared" si="0"/>
        <v>0</v>
      </c>
      <c r="T8">
        <f t="shared" si="1"/>
        <v>-0.04</v>
      </c>
      <c r="V8" s="1">
        <f t="shared" si="2"/>
        <v>-210</v>
      </c>
      <c r="W8" s="1">
        <f t="shared" si="3"/>
        <v>990</v>
      </c>
    </row>
    <row r="9" spans="1:23" x14ac:dyDescent="0.25">
      <c r="A9" t="s">
        <v>30</v>
      </c>
      <c r="B9" t="s">
        <v>31</v>
      </c>
      <c r="C9">
        <v>0</v>
      </c>
      <c r="D9">
        <v>0.1</v>
      </c>
      <c r="E9">
        <v>0</v>
      </c>
      <c r="F9">
        <v>0</v>
      </c>
      <c r="H9">
        <v>0</v>
      </c>
      <c r="I9">
        <v>0</v>
      </c>
      <c r="J9">
        <v>-70</v>
      </c>
      <c r="M9">
        <v>0</v>
      </c>
      <c r="N9">
        <f t="shared" si="4"/>
        <v>-2.2333333333333334</v>
      </c>
      <c r="P9">
        <v>0</v>
      </c>
      <c r="Q9">
        <v>4.0157499999999997</v>
      </c>
      <c r="S9">
        <f t="shared" si="0"/>
        <v>0.1</v>
      </c>
      <c r="T9">
        <f t="shared" si="1"/>
        <v>-0.01</v>
      </c>
      <c r="V9" s="1">
        <f t="shared" si="2"/>
        <v>-69.448750000000004</v>
      </c>
      <c r="W9" s="1">
        <f t="shared" si="3"/>
        <v>1130.55125</v>
      </c>
    </row>
    <row r="10" spans="1:23" x14ac:dyDescent="0.25">
      <c r="A10" t="s">
        <v>32</v>
      </c>
      <c r="B10" t="s">
        <v>33</v>
      </c>
      <c r="C10">
        <v>-1</v>
      </c>
      <c r="D10">
        <v>0.12</v>
      </c>
      <c r="E10">
        <v>2</v>
      </c>
      <c r="F10">
        <v>2</v>
      </c>
      <c r="H10">
        <v>0.1</v>
      </c>
      <c r="I10">
        <v>0</v>
      </c>
      <c r="J10">
        <v>-40</v>
      </c>
      <c r="M10">
        <v>750</v>
      </c>
      <c r="N10">
        <f t="shared" si="4"/>
        <v>-6.8333333333333339</v>
      </c>
      <c r="P10">
        <v>0</v>
      </c>
      <c r="Q10">
        <v>5</v>
      </c>
      <c r="S10">
        <f t="shared" si="0"/>
        <v>0.12</v>
      </c>
      <c r="T10">
        <f t="shared" si="1"/>
        <v>0</v>
      </c>
      <c r="V10" s="1">
        <f t="shared" si="2"/>
        <v>-35</v>
      </c>
      <c r="W10" s="1">
        <f t="shared" si="3"/>
        <v>1165</v>
      </c>
    </row>
    <row r="11" spans="1:23" x14ac:dyDescent="0.25">
      <c r="S11">
        <f t="shared" si="0"/>
        <v>0</v>
      </c>
      <c r="T11">
        <f t="shared" si="1"/>
        <v>-0.04</v>
      </c>
      <c r="V11" s="1">
        <f t="shared" si="2"/>
        <v>-210</v>
      </c>
      <c r="W11" s="1">
        <f t="shared" si="3"/>
        <v>990</v>
      </c>
    </row>
    <row r="12" spans="1:23" x14ac:dyDescent="0.25">
      <c r="A12" t="s">
        <v>34</v>
      </c>
      <c r="B12" t="s">
        <v>35</v>
      </c>
      <c r="C12">
        <v>0</v>
      </c>
      <c r="D12">
        <v>0.31</v>
      </c>
      <c r="E12">
        <v>-3</v>
      </c>
      <c r="F12">
        <v>-7</v>
      </c>
      <c r="H12">
        <v>0</v>
      </c>
      <c r="I12">
        <v>0.03</v>
      </c>
      <c r="J12">
        <v>100</v>
      </c>
      <c r="M12">
        <v>0</v>
      </c>
      <c r="N12">
        <f t="shared" si="4"/>
        <v>1.0333333333333337</v>
      </c>
      <c r="P12">
        <v>0.04</v>
      </c>
      <c r="Q12">
        <v>8.8582699999999992</v>
      </c>
      <c r="S12">
        <f t="shared" si="0"/>
        <v>0.25</v>
      </c>
      <c r="T12">
        <f t="shared" si="1"/>
        <v>0.03</v>
      </c>
      <c r="V12" s="1">
        <f t="shared" si="2"/>
        <v>100.03944999999997</v>
      </c>
      <c r="W12" s="1">
        <f t="shared" si="3"/>
        <v>1300.03945</v>
      </c>
    </row>
    <row r="13" spans="1:23" x14ac:dyDescent="0.25">
      <c r="A13" t="s">
        <v>36</v>
      </c>
      <c r="B13" t="s">
        <v>37</v>
      </c>
      <c r="C13">
        <v>2</v>
      </c>
      <c r="D13">
        <v>0.22</v>
      </c>
      <c r="E13">
        <v>-1</v>
      </c>
      <c r="F13">
        <v>-4</v>
      </c>
      <c r="H13">
        <v>0.05</v>
      </c>
      <c r="I13">
        <v>0</v>
      </c>
      <c r="J13">
        <v>80</v>
      </c>
      <c r="M13">
        <v>1000</v>
      </c>
      <c r="N13">
        <f t="shared" si="4"/>
        <v>0.81666666666666621</v>
      </c>
      <c r="P13">
        <v>0.04</v>
      </c>
      <c r="Q13">
        <v>5.74803</v>
      </c>
      <c r="S13">
        <f t="shared" si="0"/>
        <v>0.18</v>
      </c>
      <c r="T13">
        <f t="shared" si="1"/>
        <v>0.01</v>
      </c>
      <c r="V13" s="1">
        <f t="shared" si="2"/>
        <v>-8.818950000000001</v>
      </c>
      <c r="W13" s="1">
        <f t="shared" si="3"/>
        <v>1191.1810499999999</v>
      </c>
    </row>
    <row r="14" spans="1:23" x14ac:dyDescent="0.25">
      <c r="S14">
        <f t="shared" si="0"/>
        <v>0</v>
      </c>
      <c r="T14">
        <f t="shared" si="1"/>
        <v>-0.04</v>
      </c>
      <c r="V14" s="1">
        <f t="shared" si="2"/>
        <v>-210</v>
      </c>
      <c r="W14" s="1">
        <f t="shared" si="3"/>
        <v>990</v>
      </c>
    </row>
    <row r="15" spans="1:23" x14ac:dyDescent="0.25">
      <c r="A15" t="s">
        <v>38</v>
      </c>
      <c r="B15" t="s">
        <v>39</v>
      </c>
      <c r="C15">
        <v>9</v>
      </c>
      <c r="D15">
        <v>0.14000000000000001</v>
      </c>
      <c r="E15">
        <v>8</v>
      </c>
      <c r="F15">
        <v>8</v>
      </c>
      <c r="H15">
        <v>0.25</v>
      </c>
      <c r="I15">
        <v>-0.03</v>
      </c>
      <c r="J15">
        <v>-100</v>
      </c>
      <c r="M15">
        <v>750</v>
      </c>
      <c r="N15">
        <f t="shared" si="4"/>
        <v>-6.8833333333333337</v>
      </c>
      <c r="P15">
        <v>0.04</v>
      </c>
      <c r="Q15">
        <v>3</v>
      </c>
      <c r="S15">
        <f t="shared" si="0"/>
        <v>0.11</v>
      </c>
      <c r="T15">
        <f t="shared" si="1"/>
        <v>-0.02</v>
      </c>
      <c r="V15" s="1">
        <f t="shared" si="2"/>
        <v>-105</v>
      </c>
      <c r="W15" s="1">
        <f t="shared" si="3"/>
        <v>1095</v>
      </c>
    </row>
    <row r="16" spans="1:23" x14ac:dyDescent="0.25">
      <c r="A16" t="s">
        <v>40</v>
      </c>
      <c r="B16" t="s">
        <v>41</v>
      </c>
      <c r="C16">
        <v>7</v>
      </c>
      <c r="D16">
        <v>0.2</v>
      </c>
      <c r="E16">
        <v>6</v>
      </c>
      <c r="F16">
        <v>6</v>
      </c>
      <c r="H16">
        <v>0.2</v>
      </c>
      <c r="I16">
        <v>0</v>
      </c>
      <c r="J16">
        <v>-40</v>
      </c>
      <c r="M16">
        <v>800</v>
      </c>
      <c r="N16">
        <f t="shared" si="4"/>
        <v>-6.5333333333333341</v>
      </c>
      <c r="P16">
        <v>0.04</v>
      </c>
      <c r="Q16">
        <v>5</v>
      </c>
      <c r="S16">
        <f t="shared" si="0"/>
        <v>0.16</v>
      </c>
      <c r="T16">
        <f t="shared" si="1"/>
        <v>0</v>
      </c>
      <c r="V16" s="1">
        <f t="shared" si="2"/>
        <v>-35</v>
      </c>
      <c r="W16" s="1">
        <f t="shared" si="3"/>
        <v>1165</v>
      </c>
    </row>
    <row r="17" spans="1:23" x14ac:dyDescent="0.25">
      <c r="A17" t="s">
        <v>42</v>
      </c>
      <c r="B17" t="s">
        <v>43</v>
      </c>
      <c r="C17">
        <v>3</v>
      </c>
      <c r="D17">
        <v>0.3</v>
      </c>
      <c r="E17">
        <v>3</v>
      </c>
      <c r="F17">
        <v>2</v>
      </c>
      <c r="H17">
        <v>7.0000000000000007E-2</v>
      </c>
      <c r="I17">
        <v>0.03</v>
      </c>
      <c r="J17">
        <v>90</v>
      </c>
      <c r="M17">
        <v>900</v>
      </c>
      <c r="N17">
        <f t="shared" si="4"/>
        <v>-6.3500000000000005</v>
      </c>
      <c r="P17">
        <v>0.04</v>
      </c>
      <c r="Q17">
        <v>8.5</v>
      </c>
      <c r="S17">
        <f t="shared" si="0"/>
        <v>0.24</v>
      </c>
      <c r="T17">
        <f t="shared" si="1"/>
        <v>0.03</v>
      </c>
      <c r="V17" s="1">
        <f t="shared" si="2"/>
        <v>87.5</v>
      </c>
      <c r="W17" s="1">
        <f t="shared" si="3"/>
        <v>1287.5</v>
      </c>
    </row>
    <row r="18" spans="1:23" x14ac:dyDescent="0.25">
      <c r="A18" t="s">
        <v>44</v>
      </c>
      <c r="B18" t="s">
        <v>45</v>
      </c>
      <c r="C18">
        <v>2</v>
      </c>
      <c r="D18">
        <v>0.31</v>
      </c>
      <c r="E18">
        <v>2</v>
      </c>
      <c r="F18">
        <v>2</v>
      </c>
      <c r="H18">
        <v>0.05</v>
      </c>
      <c r="I18">
        <v>0.04</v>
      </c>
      <c r="J18">
        <v>110</v>
      </c>
      <c r="M18">
        <v>950</v>
      </c>
      <c r="N18">
        <f t="shared" si="4"/>
        <v>-6.4833333333333343</v>
      </c>
      <c r="P18">
        <v>0.04</v>
      </c>
      <c r="Q18">
        <v>9</v>
      </c>
      <c r="S18">
        <f t="shared" si="0"/>
        <v>0.26</v>
      </c>
      <c r="T18">
        <f t="shared" si="1"/>
        <v>0.03</v>
      </c>
      <c r="V18" s="1">
        <f t="shared" si="2"/>
        <v>105</v>
      </c>
      <c r="W18" s="1">
        <f t="shared" si="3"/>
        <v>1305</v>
      </c>
    </row>
    <row r="19" spans="1:23" x14ac:dyDescent="0.25">
      <c r="A19" t="s">
        <v>46</v>
      </c>
      <c r="B19" t="s">
        <v>47</v>
      </c>
      <c r="C19">
        <v>-3</v>
      </c>
      <c r="D19">
        <v>0.51</v>
      </c>
      <c r="E19">
        <v>-2</v>
      </c>
      <c r="F19">
        <v>-2</v>
      </c>
      <c r="H19">
        <v>0</v>
      </c>
      <c r="I19">
        <v>0.09</v>
      </c>
      <c r="J19">
        <v>200</v>
      </c>
      <c r="M19">
        <v>0</v>
      </c>
      <c r="N19">
        <f t="shared" si="4"/>
        <v>-8.8333333333333339</v>
      </c>
      <c r="P19">
        <v>0.04</v>
      </c>
      <c r="Q19">
        <v>16</v>
      </c>
      <c r="S19">
        <f t="shared" si="0"/>
        <v>0.42</v>
      </c>
      <c r="T19">
        <f t="shared" si="1"/>
        <v>0.09</v>
      </c>
      <c r="V19" s="1">
        <f t="shared" si="2"/>
        <v>350</v>
      </c>
      <c r="W19" s="1">
        <f t="shared" si="3"/>
        <v>1550</v>
      </c>
    </row>
    <row r="20" spans="1:23" x14ac:dyDescent="0.25">
      <c r="A20" t="s">
        <v>48</v>
      </c>
      <c r="B20" t="s">
        <v>49</v>
      </c>
      <c r="C20">
        <v>-4</v>
      </c>
      <c r="D20">
        <v>0.52</v>
      </c>
      <c r="E20">
        <v>-3</v>
      </c>
      <c r="F20">
        <v>-3</v>
      </c>
      <c r="H20">
        <v>0</v>
      </c>
      <c r="I20">
        <v>0.09</v>
      </c>
      <c r="J20">
        <v>200</v>
      </c>
      <c r="M20">
        <v>1200</v>
      </c>
      <c r="N20">
        <f t="shared" si="4"/>
        <v>-8.6333333333333329</v>
      </c>
      <c r="P20">
        <v>0.04</v>
      </c>
      <c r="Q20">
        <v>16</v>
      </c>
      <c r="R20">
        <v>0.01</v>
      </c>
      <c r="S20">
        <f t="shared" si="0"/>
        <v>0.43</v>
      </c>
      <c r="T20">
        <f t="shared" si="1"/>
        <v>0.09</v>
      </c>
      <c r="V20" s="1">
        <f t="shared" si="2"/>
        <v>350</v>
      </c>
      <c r="W20" s="1">
        <f t="shared" si="3"/>
        <v>1550</v>
      </c>
    </row>
    <row r="21" spans="1:23" x14ac:dyDescent="0.25">
      <c r="A21" t="s">
        <v>50</v>
      </c>
      <c r="B21" t="s">
        <v>51</v>
      </c>
      <c r="C21">
        <v>-5</v>
      </c>
      <c r="D21">
        <v>0.53</v>
      </c>
      <c r="E21">
        <v>-4</v>
      </c>
      <c r="F21">
        <v>-4</v>
      </c>
      <c r="H21">
        <v>0</v>
      </c>
      <c r="I21">
        <v>0.09</v>
      </c>
      <c r="J21">
        <v>200</v>
      </c>
      <c r="M21">
        <v>1200</v>
      </c>
      <c r="N21">
        <f t="shared" si="4"/>
        <v>-8.4333333333333353</v>
      </c>
      <c r="P21">
        <v>0.04</v>
      </c>
      <c r="Q21">
        <v>16</v>
      </c>
      <c r="R21">
        <v>0.02</v>
      </c>
      <c r="S21">
        <f t="shared" si="0"/>
        <v>0.44</v>
      </c>
      <c r="T21">
        <f t="shared" si="1"/>
        <v>0.09</v>
      </c>
      <c r="V21" s="1">
        <f t="shared" si="2"/>
        <v>350</v>
      </c>
      <c r="W21" s="1">
        <f t="shared" si="3"/>
        <v>1550</v>
      </c>
    </row>
    <row r="22" spans="1:23" x14ac:dyDescent="0.25">
      <c r="S22">
        <f t="shared" si="0"/>
        <v>0</v>
      </c>
      <c r="T22">
        <f t="shared" si="1"/>
        <v>-0.04</v>
      </c>
      <c r="V22" s="1">
        <f t="shared" si="2"/>
        <v>-210</v>
      </c>
      <c r="W22" s="1">
        <f t="shared" si="3"/>
        <v>990</v>
      </c>
    </row>
    <row r="23" spans="1:23" x14ac:dyDescent="0.25">
      <c r="A23" t="s">
        <v>52</v>
      </c>
      <c r="B23" t="s">
        <v>53</v>
      </c>
      <c r="C23">
        <v>0</v>
      </c>
      <c r="D23">
        <v>0.32</v>
      </c>
      <c r="E23">
        <v>0</v>
      </c>
      <c r="F23">
        <v>0</v>
      </c>
      <c r="H23">
        <v>0.05</v>
      </c>
      <c r="I23">
        <v>0.04</v>
      </c>
      <c r="J23">
        <v>120</v>
      </c>
      <c r="M23">
        <v>0</v>
      </c>
      <c r="N23">
        <f t="shared" si="4"/>
        <v>-5.85</v>
      </c>
      <c r="P23">
        <v>0.04</v>
      </c>
      <c r="Q23">
        <v>9.3700799999999997</v>
      </c>
      <c r="S23">
        <f t="shared" si="0"/>
        <v>0.26</v>
      </c>
      <c r="T23">
        <f t="shared" si="1"/>
        <v>0.04</v>
      </c>
      <c r="V23" s="1">
        <f t="shared" si="2"/>
        <v>117.9528</v>
      </c>
      <c r="W23" s="1">
        <f t="shared" si="3"/>
        <v>1317.9528</v>
      </c>
    </row>
    <row r="24" spans="1:23" x14ac:dyDescent="0.25">
      <c r="A24" t="s">
        <v>54</v>
      </c>
      <c r="B24" t="s">
        <v>55</v>
      </c>
      <c r="C24">
        <v>-2</v>
      </c>
      <c r="D24">
        <v>0.44</v>
      </c>
      <c r="E24">
        <v>-2</v>
      </c>
      <c r="F24">
        <v>-2</v>
      </c>
      <c r="H24">
        <v>0</v>
      </c>
      <c r="I24">
        <v>7.0000000000000007E-2</v>
      </c>
      <c r="J24">
        <v>170</v>
      </c>
      <c r="M24">
        <v>500</v>
      </c>
      <c r="N24">
        <f t="shared" si="4"/>
        <v>-6.7333333333333352</v>
      </c>
      <c r="P24">
        <v>0.04</v>
      </c>
      <c r="Q24">
        <v>13.582700000000001</v>
      </c>
      <c r="S24">
        <f t="shared" si="0"/>
        <v>0.37</v>
      </c>
      <c r="T24">
        <f t="shared" si="1"/>
        <v>7.0000000000000007E-2</v>
      </c>
      <c r="V24" s="1">
        <f t="shared" si="2"/>
        <v>265.39450000000005</v>
      </c>
      <c r="W24" s="1">
        <f t="shared" si="3"/>
        <v>1465.3945000000001</v>
      </c>
    </row>
    <row r="25" spans="1:23" x14ac:dyDescent="0.25">
      <c r="S25">
        <f t="shared" si="0"/>
        <v>0</v>
      </c>
      <c r="T25">
        <f t="shared" si="1"/>
        <v>-0.04</v>
      </c>
      <c r="V25" s="1">
        <f t="shared" si="2"/>
        <v>-210</v>
      </c>
      <c r="W25" s="1">
        <f t="shared" si="3"/>
        <v>990</v>
      </c>
    </row>
    <row r="26" spans="1:23" x14ac:dyDescent="0.25">
      <c r="A26" t="s">
        <v>56</v>
      </c>
      <c r="B26" t="s">
        <v>57</v>
      </c>
      <c r="C26">
        <v>3</v>
      </c>
      <c r="D26">
        <v>0.52</v>
      </c>
      <c r="E26">
        <v>-12</v>
      </c>
      <c r="F26">
        <v>-14</v>
      </c>
      <c r="H26">
        <v>0</v>
      </c>
      <c r="I26">
        <v>0.09</v>
      </c>
      <c r="J26">
        <v>200</v>
      </c>
      <c r="M26">
        <v>2000</v>
      </c>
      <c r="N26">
        <f t="shared" si="4"/>
        <v>12.166666666666668</v>
      </c>
      <c r="P26">
        <v>0.04</v>
      </c>
      <c r="Q26">
        <v>16.535399999999999</v>
      </c>
      <c r="S26">
        <f t="shared" si="0"/>
        <v>0.44</v>
      </c>
      <c r="T26">
        <f t="shared" si="1"/>
        <v>0.09</v>
      </c>
      <c r="V26" s="1">
        <f t="shared" si="2"/>
        <v>368.73899999999998</v>
      </c>
      <c r="W26" s="1">
        <f t="shared" si="3"/>
        <v>1568.739</v>
      </c>
    </row>
    <row r="27" spans="1:23" x14ac:dyDescent="0.25">
      <c r="A27" t="s">
        <v>58</v>
      </c>
      <c r="B27" t="s">
        <v>59</v>
      </c>
      <c r="C27">
        <v>4</v>
      </c>
      <c r="D27">
        <v>0.42</v>
      </c>
      <c r="E27">
        <v>-9</v>
      </c>
      <c r="F27">
        <v>-8</v>
      </c>
      <c r="H27">
        <v>0.1</v>
      </c>
      <c r="I27">
        <v>0.06</v>
      </c>
      <c r="J27">
        <v>160</v>
      </c>
      <c r="M27">
        <v>3000</v>
      </c>
      <c r="N27">
        <f t="shared" si="4"/>
        <v>8.2333333333333325</v>
      </c>
      <c r="P27">
        <v>0.04</v>
      </c>
      <c r="Q27">
        <v>12.795299999999999</v>
      </c>
      <c r="S27">
        <f t="shared" si="0"/>
        <v>0.35</v>
      </c>
      <c r="T27">
        <f t="shared" si="1"/>
        <v>0.06</v>
      </c>
      <c r="V27" s="1">
        <f t="shared" si="2"/>
        <v>237.83549999999997</v>
      </c>
      <c r="W27" s="1">
        <f t="shared" si="3"/>
        <v>1437.8354999999999</v>
      </c>
    </row>
    <row r="28" spans="1:23" x14ac:dyDescent="0.25">
      <c r="S28">
        <f t="shared" si="0"/>
        <v>0</v>
      </c>
      <c r="T28">
        <f t="shared" si="1"/>
        <v>-0.04</v>
      </c>
      <c r="V28" s="1">
        <f t="shared" si="2"/>
        <v>-210</v>
      </c>
      <c r="W28" s="1">
        <f t="shared" si="3"/>
        <v>990</v>
      </c>
    </row>
    <row r="29" spans="1:23" x14ac:dyDescent="0.25">
      <c r="A29" t="s">
        <v>60</v>
      </c>
      <c r="B29" t="s">
        <v>61</v>
      </c>
      <c r="C29">
        <v>0</v>
      </c>
      <c r="D29">
        <v>0.28000000000000003</v>
      </c>
      <c r="E29">
        <v>-1</v>
      </c>
      <c r="F29">
        <v>0</v>
      </c>
      <c r="H29">
        <v>0</v>
      </c>
      <c r="J29">
        <v>70</v>
      </c>
      <c r="M29">
        <v>500</v>
      </c>
      <c r="N29">
        <f t="shared" si="4"/>
        <v>-4.5666666666666673</v>
      </c>
      <c r="P29">
        <v>0.04</v>
      </c>
      <c r="Q29">
        <v>8</v>
      </c>
      <c r="S29">
        <f t="shared" si="0"/>
        <v>0.23</v>
      </c>
      <c r="T29">
        <f t="shared" si="1"/>
        <v>0.02</v>
      </c>
      <c r="V29" s="1">
        <f t="shared" si="2"/>
        <v>70</v>
      </c>
      <c r="W29" s="1">
        <f t="shared" si="3"/>
        <v>1270</v>
      </c>
    </row>
    <row r="30" spans="1:23" x14ac:dyDescent="0.25">
      <c r="A30" t="s">
        <v>62</v>
      </c>
      <c r="B30" t="s">
        <v>63</v>
      </c>
      <c r="C30">
        <v>-2</v>
      </c>
      <c r="D30">
        <v>0.28000000000000003</v>
      </c>
      <c r="E30">
        <v>1</v>
      </c>
      <c r="F30">
        <v>1</v>
      </c>
      <c r="H30">
        <v>0.05</v>
      </c>
      <c r="J30">
        <v>70</v>
      </c>
      <c r="M30">
        <v>1000</v>
      </c>
      <c r="N30">
        <f t="shared" si="4"/>
        <v>-9.0166666666666675</v>
      </c>
      <c r="P30">
        <v>0.04</v>
      </c>
      <c r="Q30">
        <v>8</v>
      </c>
      <c r="S30">
        <f t="shared" si="0"/>
        <v>0.23</v>
      </c>
      <c r="T30">
        <f t="shared" si="1"/>
        <v>0.02</v>
      </c>
      <c r="V30" s="1">
        <f t="shared" si="2"/>
        <v>70</v>
      </c>
      <c r="W30" s="1">
        <f t="shared" si="3"/>
        <v>1270</v>
      </c>
    </row>
    <row r="31" spans="1:23" x14ac:dyDescent="0.25">
      <c r="S31">
        <f t="shared" si="0"/>
        <v>0</v>
      </c>
      <c r="T31">
        <f t="shared" si="1"/>
        <v>-0.04</v>
      </c>
      <c r="V31" s="1">
        <f t="shared" si="2"/>
        <v>-210</v>
      </c>
      <c r="W31" s="1">
        <f t="shared" si="3"/>
        <v>990</v>
      </c>
    </row>
    <row r="32" spans="1:23" x14ac:dyDescent="0.25">
      <c r="A32" t="s">
        <v>64</v>
      </c>
      <c r="B32" t="s">
        <v>65</v>
      </c>
      <c r="C32">
        <v>0</v>
      </c>
      <c r="D32">
        <v>0.23</v>
      </c>
      <c r="E32">
        <v>0</v>
      </c>
      <c r="F32">
        <v>0</v>
      </c>
      <c r="H32">
        <v>0</v>
      </c>
      <c r="I32">
        <v>0</v>
      </c>
      <c r="J32">
        <v>-20</v>
      </c>
      <c r="K32">
        <v>0</v>
      </c>
      <c r="M32">
        <v>800</v>
      </c>
      <c r="N32">
        <f t="shared" si="4"/>
        <v>-4.666666666666667</v>
      </c>
      <c r="P32">
        <v>0.04</v>
      </c>
      <c r="Q32">
        <v>5.5118099999999997</v>
      </c>
      <c r="S32">
        <f t="shared" si="0"/>
        <v>0.17</v>
      </c>
      <c r="T32">
        <f t="shared" si="1"/>
        <v>0</v>
      </c>
      <c r="V32" s="1">
        <f t="shared" si="2"/>
        <v>-17.086650000000013</v>
      </c>
      <c r="W32" s="1">
        <f t="shared" si="3"/>
        <v>1182.91335</v>
      </c>
    </row>
    <row r="33" spans="1:23" x14ac:dyDescent="0.25">
      <c r="A33" t="s">
        <v>66</v>
      </c>
      <c r="B33" t="s">
        <v>67</v>
      </c>
      <c r="C33">
        <v>-1</v>
      </c>
      <c r="D33">
        <v>0.26</v>
      </c>
      <c r="E33">
        <v>-1</v>
      </c>
      <c r="F33">
        <v>-1</v>
      </c>
      <c r="H33">
        <v>-0.05</v>
      </c>
      <c r="I33">
        <v>0.02</v>
      </c>
      <c r="J33">
        <v>20</v>
      </c>
      <c r="K33">
        <v>-0.1</v>
      </c>
      <c r="M33">
        <v>750</v>
      </c>
      <c r="N33">
        <f t="shared" si="4"/>
        <v>-4.2833333333333341</v>
      </c>
      <c r="P33">
        <v>0.04</v>
      </c>
      <c r="Q33">
        <v>6.6929100000000004</v>
      </c>
      <c r="S33">
        <f t="shared" si="0"/>
        <v>0.2</v>
      </c>
      <c r="T33">
        <f t="shared" si="1"/>
        <v>0.01</v>
      </c>
      <c r="V33" s="1">
        <f t="shared" si="2"/>
        <v>24.251850000000012</v>
      </c>
      <c r="W33" s="1">
        <f t="shared" si="3"/>
        <v>1224.2518500000001</v>
      </c>
    </row>
    <row r="34" spans="1:23" x14ac:dyDescent="0.25">
      <c r="S34">
        <f t="shared" si="0"/>
        <v>0</v>
      </c>
      <c r="T34">
        <f t="shared" si="1"/>
        <v>-0.04</v>
      </c>
      <c r="V34" s="1">
        <f t="shared" si="2"/>
        <v>-210</v>
      </c>
      <c r="W34" s="1">
        <f t="shared" si="3"/>
        <v>990</v>
      </c>
    </row>
    <row r="35" spans="1:23" x14ac:dyDescent="0.25">
      <c r="A35" t="s">
        <v>20</v>
      </c>
      <c r="B35" t="s">
        <v>21</v>
      </c>
      <c r="C35">
        <v>0</v>
      </c>
      <c r="D35">
        <v>0.1</v>
      </c>
      <c r="E35">
        <v>0</v>
      </c>
      <c r="F35">
        <v>0</v>
      </c>
      <c r="H35">
        <v>0</v>
      </c>
      <c r="I35">
        <v>0</v>
      </c>
      <c r="J35">
        <v>-50</v>
      </c>
      <c r="M35">
        <v>0</v>
      </c>
      <c r="N35">
        <f t="shared" si="4"/>
        <v>-2.1666666666666665</v>
      </c>
      <c r="P35">
        <v>0</v>
      </c>
      <c r="S35">
        <f t="shared" si="0"/>
        <v>0</v>
      </c>
      <c r="T35">
        <f t="shared" si="1"/>
        <v>-0.04</v>
      </c>
      <c r="V35" s="1">
        <f t="shared" si="2"/>
        <v>-210</v>
      </c>
      <c r="W35" s="1">
        <f t="shared" si="3"/>
        <v>990</v>
      </c>
    </row>
    <row r="36" spans="1:23" x14ac:dyDescent="0.25">
      <c r="A36" t="s">
        <v>69</v>
      </c>
      <c r="B36" t="s">
        <v>70</v>
      </c>
      <c r="C36">
        <v>-1</v>
      </c>
      <c r="D36">
        <v>0.12</v>
      </c>
      <c r="E36">
        <v>0</v>
      </c>
      <c r="F36">
        <v>0</v>
      </c>
      <c r="H36">
        <v>-0.02</v>
      </c>
      <c r="I36">
        <v>0</v>
      </c>
      <c r="J36">
        <v>-35</v>
      </c>
      <c r="M36">
        <v>1000</v>
      </c>
      <c r="N36">
        <f t="shared" si="4"/>
        <v>-3.4166666666666665</v>
      </c>
      <c r="P36">
        <v>0</v>
      </c>
      <c r="Q36">
        <v>4.5</v>
      </c>
      <c r="S36">
        <f t="shared" si="0"/>
        <v>0.11</v>
      </c>
      <c r="T36">
        <f t="shared" si="1"/>
        <v>0</v>
      </c>
      <c r="V36" s="1">
        <f t="shared" si="2"/>
        <v>-52.5</v>
      </c>
      <c r="W36" s="1">
        <f t="shared" si="3"/>
        <v>1147.5</v>
      </c>
    </row>
    <row r="37" spans="1:23" x14ac:dyDescent="0.25">
      <c r="A37" t="s">
        <v>71</v>
      </c>
      <c r="B37" t="s">
        <v>72</v>
      </c>
      <c r="C37">
        <v>-2</v>
      </c>
      <c r="D37">
        <v>0.15</v>
      </c>
      <c r="E37">
        <v>2</v>
      </c>
      <c r="F37">
        <v>2</v>
      </c>
      <c r="H37">
        <v>0.03</v>
      </c>
      <c r="I37">
        <v>0</v>
      </c>
      <c r="J37">
        <v>-20</v>
      </c>
      <c r="M37">
        <v>1500</v>
      </c>
      <c r="N37">
        <f t="shared" si="4"/>
        <v>-8.0166666666666675</v>
      </c>
      <c r="P37">
        <v>0</v>
      </c>
      <c r="Q37">
        <v>6.0236200000000002</v>
      </c>
      <c r="S37">
        <f t="shared" si="0"/>
        <v>0.14000000000000001</v>
      </c>
      <c r="T37">
        <f t="shared" si="1"/>
        <v>0.01</v>
      </c>
      <c r="V37" s="1">
        <f t="shared" si="2"/>
        <v>0.82670000000000687</v>
      </c>
      <c r="W37" s="1">
        <f t="shared" si="3"/>
        <v>1200.8267000000001</v>
      </c>
    </row>
    <row r="38" spans="1:23" x14ac:dyDescent="0.25">
      <c r="A38" t="s">
        <v>73</v>
      </c>
      <c r="B38" t="s">
        <v>74</v>
      </c>
      <c r="C38">
        <v>-1</v>
      </c>
      <c r="D38">
        <v>0.12</v>
      </c>
      <c r="E38">
        <v>2</v>
      </c>
      <c r="F38">
        <v>2</v>
      </c>
      <c r="H38">
        <v>0</v>
      </c>
      <c r="I38">
        <v>0</v>
      </c>
      <c r="J38">
        <v>-30</v>
      </c>
      <c r="M38">
        <v>2000</v>
      </c>
      <c r="N38">
        <f t="shared" si="4"/>
        <v>-6.3</v>
      </c>
      <c r="P38">
        <v>0</v>
      </c>
      <c r="Q38">
        <v>15.984252</v>
      </c>
      <c r="S38">
        <f t="shared" si="0"/>
        <v>0.38</v>
      </c>
      <c r="T38">
        <f t="shared" si="1"/>
        <v>0.09</v>
      </c>
      <c r="V38" s="1">
        <f t="shared" si="2"/>
        <v>349.44882000000001</v>
      </c>
      <c r="W38" s="1">
        <f t="shared" si="3"/>
        <v>1549.4488200000001</v>
      </c>
    </row>
    <row r="39" spans="1:23" x14ac:dyDescent="0.25">
      <c r="A39" t="s">
        <v>75</v>
      </c>
      <c r="B39" t="s">
        <v>76</v>
      </c>
      <c r="C39">
        <v>-5</v>
      </c>
      <c r="D39">
        <v>0.28999999999999998</v>
      </c>
      <c r="E39">
        <v>-3</v>
      </c>
      <c r="F39">
        <v>-3</v>
      </c>
      <c r="H39">
        <v>-0.05</v>
      </c>
      <c r="I39">
        <v>0.03</v>
      </c>
      <c r="J39">
        <v>100</v>
      </c>
      <c r="M39">
        <v>3000</v>
      </c>
      <c r="N39">
        <f t="shared" si="4"/>
        <v>-5.7166666666666677</v>
      </c>
      <c r="P39">
        <v>0</v>
      </c>
    </row>
    <row r="41" spans="1:23" x14ac:dyDescent="0.25">
      <c r="A41" t="s">
        <v>68</v>
      </c>
      <c r="B41" t="s">
        <v>89</v>
      </c>
      <c r="C41">
        <v>0</v>
      </c>
      <c r="D41">
        <v>0.11</v>
      </c>
      <c r="E41">
        <v>10</v>
      </c>
      <c r="F41">
        <v>20</v>
      </c>
      <c r="H41">
        <v>0.1</v>
      </c>
      <c r="I41">
        <v>0</v>
      </c>
      <c r="J41">
        <v>0</v>
      </c>
      <c r="M41">
        <v>2000</v>
      </c>
      <c r="N41">
        <f t="shared" si="4"/>
        <v>-22.7</v>
      </c>
    </row>
    <row r="42" spans="1:23" x14ac:dyDescent="0.25">
      <c r="A42" t="s">
        <v>90</v>
      </c>
      <c r="B42" t="s">
        <v>91</v>
      </c>
      <c r="C42">
        <v>-1</v>
      </c>
      <c r="D42">
        <v>0.13</v>
      </c>
      <c r="E42">
        <v>10</v>
      </c>
      <c r="F42">
        <v>20</v>
      </c>
      <c r="H42">
        <v>0.8</v>
      </c>
      <c r="I42">
        <v>0</v>
      </c>
      <c r="J42">
        <v>0</v>
      </c>
      <c r="M42">
        <v>4000</v>
      </c>
      <c r="N42">
        <f t="shared" si="4"/>
        <v>-27.6</v>
      </c>
    </row>
    <row r="43" spans="1:23" x14ac:dyDescent="0.25">
      <c r="A43" t="s">
        <v>92</v>
      </c>
      <c r="B43" t="s">
        <v>93</v>
      </c>
      <c r="C43">
        <v>-2</v>
      </c>
      <c r="D43">
        <v>0.15</v>
      </c>
      <c r="E43">
        <v>12</v>
      </c>
      <c r="F43">
        <v>22</v>
      </c>
      <c r="H43">
        <v>0.13</v>
      </c>
      <c r="I43">
        <v>0</v>
      </c>
      <c r="J43">
        <v>20</v>
      </c>
      <c r="M43">
        <v>5000</v>
      </c>
      <c r="N43">
        <f t="shared" si="4"/>
        <v>-28.383333333333333</v>
      </c>
    </row>
    <row r="45" spans="1:23" x14ac:dyDescent="0.25">
      <c r="A45" t="s">
        <v>77</v>
      </c>
      <c r="B45" t="s">
        <v>78</v>
      </c>
      <c r="C45">
        <v>2</v>
      </c>
      <c r="D45">
        <v>7.0000000000000007E-2</v>
      </c>
      <c r="E45">
        <v>3</v>
      </c>
      <c r="F45">
        <v>4</v>
      </c>
      <c r="H45">
        <v>0.1</v>
      </c>
      <c r="I45">
        <v>-0.02</v>
      </c>
      <c r="J45">
        <v>-70</v>
      </c>
      <c r="M45">
        <v>300</v>
      </c>
      <c r="N45">
        <f t="shared" si="4"/>
        <v>-5.1333333333333337</v>
      </c>
    </row>
    <row r="46" spans="1:23" x14ac:dyDescent="0.25">
      <c r="A46" t="s">
        <v>79</v>
      </c>
      <c r="B46" t="s">
        <v>80</v>
      </c>
      <c r="C46">
        <v>-1</v>
      </c>
      <c r="D46">
        <v>0.09</v>
      </c>
      <c r="E46">
        <v>2</v>
      </c>
      <c r="F46">
        <v>1</v>
      </c>
      <c r="H46">
        <v>7.0000000000000007E-2</v>
      </c>
      <c r="J46">
        <v>-50</v>
      </c>
      <c r="M46">
        <v>1000</v>
      </c>
      <c r="N46">
        <f t="shared" si="4"/>
        <v>-5.5166666666666666</v>
      </c>
    </row>
    <row r="47" spans="1:23" x14ac:dyDescent="0.25">
      <c r="A47" t="s">
        <v>81</v>
      </c>
      <c r="B47" t="s">
        <v>82</v>
      </c>
      <c r="C47">
        <v>-1</v>
      </c>
      <c r="D47">
        <v>0.1</v>
      </c>
      <c r="E47">
        <v>2</v>
      </c>
      <c r="F47">
        <v>2</v>
      </c>
      <c r="H47">
        <v>0.05</v>
      </c>
      <c r="J47">
        <v>-50</v>
      </c>
      <c r="M47">
        <v>1500</v>
      </c>
      <c r="N47">
        <f t="shared" si="4"/>
        <v>-6.2166666666666668</v>
      </c>
    </row>
    <row r="48" spans="1:23" x14ac:dyDescent="0.25">
      <c r="A48" t="s">
        <v>83</v>
      </c>
      <c r="B48" t="s">
        <v>84</v>
      </c>
      <c r="C48">
        <v>0</v>
      </c>
      <c r="D48">
        <v>0.09</v>
      </c>
      <c r="E48">
        <v>0</v>
      </c>
      <c r="F48">
        <v>0</v>
      </c>
      <c r="H48">
        <v>0.02</v>
      </c>
      <c r="J48">
        <v>-50</v>
      </c>
      <c r="M48">
        <v>0</v>
      </c>
      <c r="N48">
        <f t="shared" si="4"/>
        <v>-2.0666666666666664</v>
      </c>
    </row>
    <row r="49" spans="1:14" x14ac:dyDescent="0.25">
      <c r="A49" t="s">
        <v>85</v>
      </c>
      <c r="B49" t="s">
        <v>86</v>
      </c>
      <c r="C49">
        <v>-2</v>
      </c>
      <c r="D49">
        <v>0.12</v>
      </c>
      <c r="E49">
        <v>-1</v>
      </c>
      <c r="F49">
        <v>-1</v>
      </c>
      <c r="H49">
        <v>0.06</v>
      </c>
      <c r="I49">
        <v>0.01</v>
      </c>
      <c r="J49">
        <v>-20</v>
      </c>
      <c r="M49">
        <v>1200</v>
      </c>
      <c r="N49">
        <f t="shared" si="4"/>
        <v>-3.2666666666666671</v>
      </c>
    </row>
    <row r="50" spans="1:14" x14ac:dyDescent="0.25">
      <c r="A50" t="s">
        <v>87</v>
      </c>
      <c r="B50" t="s">
        <v>88</v>
      </c>
      <c r="C50">
        <v>-2</v>
      </c>
      <c r="D50">
        <v>0.13</v>
      </c>
      <c r="E50">
        <v>-1</v>
      </c>
      <c r="F50">
        <v>-1</v>
      </c>
      <c r="H50">
        <v>0.02</v>
      </c>
      <c r="I50">
        <v>0.01</v>
      </c>
      <c r="J50">
        <v>-20</v>
      </c>
      <c r="M50">
        <v>1800</v>
      </c>
      <c r="N50">
        <f t="shared" si="4"/>
        <v>-3.2666666666666666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9mm-barrels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modified xsi:type="dcterms:W3CDTF">2026-10-21T09:27:18Z</dcterms:modified>
</cp:coreProperties>
</file>