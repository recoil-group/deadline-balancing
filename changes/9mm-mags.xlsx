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DF2BA538-C904-47E1-9AAC-8F865DC057B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9mm-ma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3" i="1"/>
  <c r="N3" i="1"/>
  <c r="N5" i="1"/>
  <c r="N6" i="1"/>
  <c r="N7" i="1"/>
  <c r="N8" i="1"/>
  <c r="N9" i="1"/>
  <c r="N10" i="1"/>
  <c r="N11" i="1"/>
  <c r="N12" i="1"/>
  <c r="N14" i="1"/>
  <c r="N13" i="1"/>
  <c r="N16" i="1"/>
  <c r="N15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4" i="1"/>
</calcChain>
</file>

<file path=xl/sharedStrings.xml><?xml version="1.0" encoding="utf-8"?>
<sst xmlns="http://schemas.openxmlformats.org/spreadsheetml/2006/main" count="98" uniqueCount="97">
  <si>
    <t>new</t>
  </si>
  <si>
    <t>name</t>
  </si>
  <si>
    <t>pretty_name</t>
  </si>
  <si>
    <t>ergonomics</t>
  </si>
  <si>
    <t>weight</t>
  </si>
  <si>
    <t>horizontal_recoil</t>
  </si>
  <si>
    <t>vertical_recoil</t>
  </si>
  <si>
    <t>magazine_capacity</t>
  </si>
  <si>
    <t>barrel_deviation</t>
  </si>
  <si>
    <t>bullet_damage</t>
  </si>
  <si>
    <t>bullet_velocity</t>
  </si>
  <si>
    <t>buck_barrel_deviation</t>
  </si>
  <si>
    <t>fire_rate</t>
  </si>
  <si>
    <t>price</t>
  </si>
  <si>
    <t>strength</t>
  </si>
  <si>
    <t>loaded weight (oz)</t>
  </si>
  <si>
    <t>unloaded weight (oz)</t>
  </si>
  <si>
    <t>formula</t>
  </si>
  <si>
    <t>kosch_9x19_31r_stick_magazine</t>
  </si>
  <si>
    <t>KOSCH 9x19 31R Stick</t>
  </si>
  <si>
    <t>kosch_9x19_17r_magazine</t>
  </si>
  <si>
    <t>KOSCH 9x19 17R</t>
  </si>
  <si>
    <t>fst_kosch_9x19_50r_drum_magazine</t>
  </si>
  <si>
    <t>SGM Tactical PF940 17 50R 9x19 Drum</t>
  </si>
  <si>
    <t>kosch_default_9x19_mag_plate</t>
  </si>
  <si>
    <t>KOSCH Default 9x19 Magazine Plate</t>
  </si>
  <si>
    <t>9x19_pf940_std_17r_vector</t>
  </si>
  <si>
    <t>PF940 9x19 17R</t>
  </si>
  <si>
    <t>9x19_sgmt_drum50r_vector</t>
  </si>
  <si>
    <t>SGMT 9x19 50R Drum</t>
  </si>
  <si>
    <t>vector_17r_plate</t>
  </si>
  <si>
    <t>Magazine</t>
  </si>
  <si>
    <t>9x19_kriss_magex2_vector</t>
  </si>
  <si>
    <t>9x19 KALIS MagEx2 For PF940 (+23 Rounds)</t>
  </si>
  <si>
    <t>9x19_glock_stick_31r</t>
  </si>
  <si>
    <t>Glock 9x19 31R Stick</t>
  </si>
  <si>
    <t>pf940_gen5_9x19_17r_magazine</t>
  </si>
  <si>
    <t>PF940 17 Gen5 17R 9x19</t>
  </si>
  <si>
    <t>9x19_sgmt_50r_drum</t>
  </si>
  <si>
    <t>9x19_glock_stick_31r_vector</t>
  </si>
  <si>
    <t>PF940 9x19 31R Stick</t>
  </si>
  <si>
    <t>9x19_kriss_magex2_glock</t>
  </si>
  <si>
    <t>9x19 KRISS MagEx2 For Glock (+23 Rounds)</t>
  </si>
  <si>
    <t>whitner_defense_edc_x9_mag_bottomplate</t>
  </si>
  <si>
    <t>Whitner Defense EDC X9 Magazine</t>
  </si>
  <si>
    <t>whitner_defense_edc_x9_18r_magazine</t>
  </si>
  <si>
    <t>Whitner Defense EDC X9 Std. 18r</t>
  </si>
  <si>
    <t>whitner_defense_edc_x9_15r_magazine</t>
  </si>
  <si>
    <t>Whitner Defense EDC X9 Std. 15r</t>
  </si>
  <si>
    <t>whitner_defense_edc_x9_10r_magazine</t>
  </si>
  <si>
    <t>Whitner Defense EDC X9 Std. 10r</t>
  </si>
  <si>
    <t>sig_sauer_p320_mag_bottom_plate</t>
  </si>
  <si>
    <t>Sic Stürmer P320 Mag</t>
  </si>
  <si>
    <t>sig_sauer_p320_9x19_17r_mag</t>
  </si>
  <si>
    <t>Sic Stürmer P320 9x19 17R</t>
  </si>
  <si>
    <t>sig_sauer_p320_9x19_21r_mag</t>
  </si>
  <si>
    <t>Sic Stürmer P320 9x19 21R</t>
  </si>
  <si>
    <t>sig_sauer_p320_9x19_30r_mag</t>
  </si>
  <si>
    <t>Sic Stürmer P320 9x19 30R</t>
  </si>
  <si>
    <t>hk_ump9_9x19_30r_mag</t>
  </si>
  <si>
    <t>UMC-9 9x19 30R</t>
  </si>
  <si>
    <t>kazarov_pp-19-01_mag_bottom_plate</t>
  </si>
  <si>
    <t>Kazarov PP-19-01</t>
  </si>
  <si>
    <t>kazarov_pp-19-01_vityaz_9x19_30r_mag</t>
  </si>
  <si>
    <t>Kazarov PP-19-01 Vityaz 9x19 30R</t>
  </si>
  <si>
    <t>kazarov_saiga_9_9x19_pinned_10r_mag</t>
  </si>
  <si>
    <t>Kazarov Saiga-9 9x19 Pinned 10R</t>
  </si>
  <si>
    <t>kalashnikov_usa_kp9_9x19_50r_drum_mag</t>
  </si>
  <si>
    <t>Kazarov USA KP9 9x19 50R Drum</t>
  </si>
  <si>
    <t>hk_mp5_std_mag_plate</t>
  </si>
  <si>
    <t>MPi-54 Std. Curved Mag</t>
  </si>
  <si>
    <t>hk_mp5_std_curved_30r_9x19_magazine</t>
  </si>
  <si>
    <t>MPi-54 Std. Curved 9x19 30R Mag</t>
  </si>
  <si>
    <t>hk_mp5_straight_30r_9x19_magazine</t>
  </si>
  <si>
    <t>MPi-54 Straight 9x19 30R Mag</t>
  </si>
  <si>
    <t>cartesia_productions_mp5_50r_9x19_drum</t>
  </si>
  <si>
    <t>Cartesia Productions MPi-54 9x19 50R Drum</t>
  </si>
  <si>
    <t>steyr_aug_para_mp88_9x19_25r_mag</t>
  </si>
  <si>
    <t>Löwenherz AUG MP88 9x19 25R</t>
  </si>
  <si>
    <t>steyr_mpi_69_81_9x19_32r_mag</t>
  </si>
  <si>
    <t>Löwenherz MPi 69/81 9x19 32R</t>
  </si>
  <si>
    <t>roch_custom_steyr_aug_9x19_40r_mag</t>
  </si>
  <si>
    <t>Roch Custom Löwenherz AUG Para 9x19 40R</t>
  </si>
  <si>
    <t>hart_32rd</t>
  </si>
  <si>
    <t>Hart 9x19 32rnd</t>
  </si>
  <si>
    <t>evermag_hart_ar9_20r_mag</t>
  </si>
  <si>
    <t>EVERMAG Hart AR-9 20Rnd</t>
  </si>
  <si>
    <t>evermag_hart_ar9_10r_mag</t>
  </si>
  <si>
    <t>EVERMAG Hart AR-9 10Rnd</t>
  </si>
  <si>
    <t>custom_hart_smg_9x19_50r_mag</t>
  </si>
  <si>
    <t>Custom Hart SMG 9x19 50rnd Magazine</t>
  </si>
  <si>
    <t>tyler_freelance_hart_smg_10r_mag_extension</t>
  </si>
  <si>
    <t>Tyler Freelance Hart SMG 10R Mag Extension</t>
  </si>
  <si>
    <t>custom_hart_smg_9x19_50r_extension</t>
  </si>
  <si>
    <t>Custom Hart SMG 9x19 50R Extension</t>
  </si>
  <si>
    <t>custom_hart_smg_mag_coupler</t>
  </si>
  <si>
    <t>Custom Hart SMG 9x19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</si>
</sst>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</font>
    <font>
      <sz val="11"/>
      <color theme="1"/>
      <name val="Calibri"/>
    </font>
    <font>
      <sz val="11"/>
      <color rgb="FF000000"/>
      <name val="Calibri"/>
    </font>
    <font>
      <sz val="11"/>
      <color rgb="FF000000"/>
      <name val="Calibri"/>
    </font>
    <font>
      <sz val="11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/>
    <xf numFmtId="0" fontId="0" fillId="0" borderId="0" xfId="0" applyAlignment="1"/>
    <xf numFmtId="0" fontId="2" fillId="0" borderId="0" xfId="0" applyFont="1" applyAlignment="1"/>
    <xf numFmtId="0" fontId="2" fillId="0" borderId="0" xfId="0" applyNumberFormat="1" applyFont="1" applyAlignment="1"/>
    <xf numFmtId="2" fontId="2" fillId="0" borderId="0" xfId="0" applyNumberFormat="1" applyFont="1" applyAlignment="1"/>
    <xf numFmtId="0" fontId="0" fillId="0" borderId="0" xfId="0" applyNumberFormat="1" applyAlignment="1"/>
    <xf numFmtId="2" fontId="0" fillId="0" borderId="0" xfId="0" applyNumberFormat="1" applyAlignment="1"/>
    <xf numFmtId="0" fontId="3" fillId="0" borderId="0" xfId="0" applyFont="1" applyAlignment="1"/>
    <xf numFmtId="0" fontId="4" fillId="0" borderId="0" xfId="0" applyFont="1" applyAlignment="1"/>
    <xf numFmtId="0" fontId="4" fillId="0" borderId="0" xfId="0" applyNumberFormat="1" applyFont="1" applyAlignment="1"/>
    <xf numFmtId="2" fontId="4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98"/>
  <sheetViews>
    <sheetView tabSelected="1" workbookViewId="0">
      <selection activeCell="C43" sqref="C43"/>
    </sheetView>
  </sheetViews>
  <sheetFormatPr defaultColWidth="14.42578125" defaultRowHeight="15" x14ac:dyDescent="0.25"/>
  <cols>
    <col min="1" max="1" width="46" style="2" customWidth="1"/>
    <col min="2" max="2" width="48" style="2" customWidth="1"/>
    <col min="3" max="18" width="8.7109375" style="2" customWidth="1"/>
    <col min="19" max="20" width="6.7109375" style="2" customWidth="1"/>
    <col min="21" max="16384" width="14.42578125" style="2"/>
  </cols>
  <sheetData>
    <row r="1" spans="1:20" x14ac:dyDescent="0.25">
      <c r="A1" s="1"/>
      <c r="B1" s="1"/>
      <c r="C1" s="1" t="s">
        <v>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P2" s="2" t="s">
        <v>15</v>
      </c>
      <c r="Q2" s="2" t="s">
        <v>16</v>
      </c>
      <c r="R2" s="2" t="s">
        <v>17</v>
      </c>
    </row>
    <row r="3" spans="1:20" ht="15.75" customHeight="1" x14ac:dyDescent="0.25">
      <c r="A3" s="3" t="s">
        <v>20</v>
      </c>
      <c r="B3" s="3" t="s">
        <v>21</v>
      </c>
      <c r="C3" s="4">
        <v>0</v>
      </c>
      <c r="D3" s="4">
        <v>0.21</v>
      </c>
      <c r="E3" s="5"/>
      <c r="F3" s="5"/>
      <c r="G3" s="4">
        <v>17</v>
      </c>
      <c r="H3" s="5"/>
      <c r="I3" s="5"/>
      <c r="J3" s="5"/>
      <c r="K3" s="5"/>
      <c r="L3" s="5"/>
      <c r="M3" s="4">
        <v>1000</v>
      </c>
      <c r="N3" s="1">
        <f>C3-D3*20-E3*0.8-F3*0.6-H3*5+I3*10+J3/300+G3/1.3</f>
        <v>8.8769230769230774</v>
      </c>
      <c r="O3" s="1"/>
      <c r="P3" s="1">
        <v>9.6999999999999993</v>
      </c>
      <c r="Q3" s="1"/>
      <c r="R3" s="1">
        <f>P3*0.022+0.02</f>
        <v>0.23339999999999997</v>
      </c>
      <c r="S3" s="1"/>
      <c r="T3" s="1"/>
    </row>
    <row r="4" spans="1:20" x14ac:dyDescent="0.25">
      <c r="A4" s="3" t="s">
        <v>18</v>
      </c>
      <c r="B4" s="3" t="s">
        <v>19</v>
      </c>
      <c r="C4" s="4">
        <v>-6</v>
      </c>
      <c r="D4" s="4">
        <v>0.39</v>
      </c>
      <c r="E4" s="5"/>
      <c r="F4" s="5"/>
      <c r="G4" s="4">
        <v>31</v>
      </c>
      <c r="H4" s="5"/>
      <c r="I4" s="5"/>
      <c r="J4" s="5"/>
      <c r="K4" s="5"/>
      <c r="L4" s="5"/>
      <c r="M4" s="4">
        <v>1000</v>
      </c>
      <c r="N4" s="1">
        <f t="shared" ref="N4:N74" si="0">C4-D4*20-E4*0.8-F4*0.6-H4*5+I4*10+J4/300+G4/1.3</f>
        <v>10.046153846153846</v>
      </c>
      <c r="O4" s="1"/>
      <c r="P4" s="1">
        <v>18.399999999999999</v>
      </c>
      <c r="Q4" s="1"/>
      <c r="R4" s="1">
        <f t="shared" ref="R4:R51" si="1">P4*0.022+0.02</f>
        <v>0.42479999999999996</v>
      </c>
      <c r="S4" s="1"/>
      <c r="T4" s="1"/>
    </row>
    <row r="5" spans="1:20" x14ac:dyDescent="0.25">
      <c r="A5" s="3" t="s">
        <v>22</v>
      </c>
      <c r="B5" s="3" t="s">
        <v>23</v>
      </c>
      <c r="C5" s="4">
        <v>-10</v>
      </c>
      <c r="D5" s="4">
        <v>0.9</v>
      </c>
      <c r="E5" s="5"/>
      <c r="F5" s="5"/>
      <c r="G5" s="4">
        <v>50</v>
      </c>
      <c r="H5" s="5"/>
      <c r="I5" s="5"/>
      <c r="J5" s="5"/>
      <c r="K5" s="5"/>
      <c r="L5" s="5"/>
      <c r="M5" s="4">
        <v>3000</v>
      </c>
      <c r="N5" s="1">
        <f t="shared" si="0"/>
        <v>10.46153846153846</v>
      </c>
      <c r="O5" s="1"/>
      <c r="P5">
        <v>44.6</v>
      </c>
      <c r="Q5" s="1"/>
      <c r="R5" s="1">
        <f t="shared" si="1"/>
        <v>1.0011999999999999</v>
      </c>
      <c r="S5" s="1"/>
      <c r="T5" s="1"/>
    </row>
    <row r="6" spans="1:20" x14ac:dyDescent="0.25">
      <c r="A6" s="3" t="s">
        <v>24</v>
      </c>
      <c r="B6" s="3" t="s">
        <v>25</v>
      </c>
      <c r="C6" s="4">
        <v>0</v>
      </c>
      <c r="D6" s="4">
        <v>0.02</v>
      </c>
      <c r="E6" s="5"/>
      <c r="F6" s="5"/>
      <c r="G6" s="5"/>
      <c r="H6" s="5"/>
      <c r="I6" s="5"/>
      <c r="J6" s="5"/>
      <c r="K6" s="5"/>
      <c r="L6" s="5"/>
      <c r="M6" s="4">
        <v>0</v>
      </c>
      <c r="N6" s="1">
        <f t="shared" si="0"/>
        <v>-0.4</v>
      </c>
      <c r="O6" s="1"/>
      <c r="P6" s="1"/>
      <c r="Q6" s="1"/>
      <c r="R6" s="1">
        <f t="shared" si="1"/>
        <v>0.02</v>
      </c>
      <c r="S6" s="1"/>
      <c r="T6" s="1"/>
    </row>
    <row r="7" spans="1:20" x14ac:dyDescent="0.25">
      <c r="A7" s="3"/>
      <c r="B7" s="3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1">
        <f t="shared" si="0"/>
        <v>0</v>
      </c>
      <c r="O7" s="1"/>
      <c r="P7" s="1"/>
      <c r="Q7" s="1"/>
      <c r="R7" s="1">
        <f t="shared" si="1"/>
        <v>0.02</v>
      </c>
      <c r="S7" s="1"/>
      <c r="T7" s="1"/>
    </row>
    <row r="8" spans="1:20" x14ac:dyDescent="0.25">
      <c r="A8" s="2" t="s">
        <v>26</v>
      </c>
      <c r="B8" s="2" t="s">
        <v>27</v>
      </c>
      <c r="C8" s="6">
        <v>0</v>
      </c>
      <c r="D8" s="4">
        <v>0.21</v>
      </c>
      <c r="E8" s="7"/>
      <c r="F8" s="7"/>
      <c r="G8" s="6">
        <v>17</v>
      </c>
      <c r="H8" s="7"/>
      <c r="I8" s="7"/>
      <c r="J8" s="7"/>
      <c r="K8" s="7"/>
      <c r="L8" s="7"/>
      <c r="M8" s="6">
        <v>500</v>
      </c>
      <c r="N8" s="1">
        <f t="shared" si="0"/>
        <v>8.8769230769230774</v>
      </c>
      <c r="O8" s="1"/>
      <c r="P8" s="1"/>
      <c r="Q8" s="1"/>
      <c r="R8" s="1">
        <f t="shared" si="1"/>
        <v>0.02</v>
      </c>
      <c r="S8" s="1"/>
      <c r="T8" s="1"/>
    </row>
    <row r="9" spans="1:20" x14ac:dyDescent="0.25">
      <c r="A9" s="2" t="s">
        <v>28</v>
      </c>
      <c r="B9" s="2" t="s">
        <v>29</v>
      </c>
      <c r="C9" s="6">
        <v>-10</v>
      </c>
      <c r="D9" s="6">
        <v>0.9</v>
      </c>
      <c r="E9" s="7"/>
      <c r="F9" s="7"/>
      <c r="G9" s="6">
        <v>50</v>
      </c>
      <c r="H9" s="7"/>
      <c r="I9" s="7"/>
      <c r="J9" s="7"/>
      <c r="K9" s="7"/>
      <c r="L9" s="7"/>
      <c r="M9" s="6">
        <v>3000</v>
      </c>
      <c r="N9" s="1">
        <f t="shared" si="0"/>
        <v>10.46153846153846</v>
      </c>
      <c r="O9" s="1"/>
      <c r="P9" s="1"/>
      <c r="Q9" s="1"/>
      <c r="R9" s="1">
        <f t="shared" si="1"/>
        <v>0.02</v>
      </c>
      <c r="S9" s="1"/>
      <c r="T9" s="1"/>
    </row>
    <row r="10" spans="1:20" x14ac:dyDescent="0.25">
      <c r="A10" s="3" t="s">
        <v>30</v>
      </c>
      <c r="B10" s="2" t="s">
        <v>31</v>
      </c>
      <c r="C10" s="6">
        <v>0</v>
      </c>
      <c r="D10" s="6">
        <v>0.02</v>
      </c>
      <c r="E10" s="7"/>
      <c r="F10" s="7"/>
      <c r="G10" s="6"/>
      <c r="H10" s="7"/>
      <c r="I10" s="7"/>
      <c r="J10" s="7"/>
      <c r="K10" s="7"/>
      <c r="L10" s="7"/>
      <c r="M10" s="6">
        <v>1000</v>
      </c>
      <c r="N10" s="1">
        <f>C10-D10*20-E10*0.8-F10*0.6-H10*5+I10*10+J10/300+G10/1.3</f>
        <v>-0.4</v>
      </c>
      <c r="O10" s="1"/>
      <c r="P10" s="1"/>
      <c r="Q10" s="1"/>
      <c r="R10" s="1">
        <f t="shared" si="1"/>
        <v>0.02</v>
      </c>
      <c r="S10" s="1"/>
      <c r="T10" s="1"/>
    </row>
    <row r="11" spans="1:20" x14ac:dyDescent="0.25">
      <c r="A11" s="3" t="s">
        <v>32</v>
      </c>
      <c r="B11" s="2" t="s">
        <v>33</v>
      </c>
      <c r="C11" s="6">
        <v>-8</v>
      </c>
      <c r="D11" s="6">
        <v>0.3</v>
      </c>
      <c r="E11" s="7"/>
      <c r="F11" s="7"/>
      <c r="G11" s="6">
        <v>23</v>
      </c>
      <c r="H11" s="7"/>
      <c r="I11" s="7"/>
      <c r="J11" s="7"/>
      <c r="K11" s="7"/>
      <c r="L11" s="7"/>
      <c r="M11" s="6">
        <v>1000</v>
      </c>
      <c r="N11" s="1">
        <f t="shared" si="0"/>
        <v>3.6923076923076934</v>
      </c>
      <c r="O11" s="1"/>
      <c r="P11" s="1"/>
      <c r="Q11" s="1"/>
      <c r="R11" s="1">
        <f t="shared" si="1"/>
        <v>0.02</v>
      </c>
      <c r="S11" s="1"/>
      <c r="T11" s="1"/>
    </row>
    <row r="12" spans="1:20" x14ac:dyDescent="0.25"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1">
        <f t="shared" si="0"/>
        <v>0</v>
      </c>
      <c r="O12" s="1"/>
      <c r="P12" s="1"/>
      <c r="Q12" s="1"/>
      <c r="R12" s="1">
        <f t="shared" si="1"/>
        <v>0.02</v>
      </c>
      <c r="S12" s="1"/>
      <c r="T12" s="1"/>
    </row>
    <row r="13" spans="1:20" x14ac:dyDescent="0.25">
      <c r="A13" s="3" t="s">
        <v>36</v>
      </c>
      <c r="B13" s="3" t="s">
        <v>37</v>
      </c>
      <c r="C13" s="4">
        <v>0</v>
      </c>
      <c r="D13" s="4">
        <v>0.2</v>
      </c>
      <c r="E13" s="5"/>
      <c r="F13" s="5"/>
      <c r="G13" s="4">
        <v>17</v>
      </c>
      <c r="H13" s="5"/>
      <c r="I13" s="5"/>
      <c r="J13" s="5"/>
      <c r="K13" s="5"/>
      <c r="L13" s="5"/>
      <c r="M13" s="4">
        <v>500</v>
      </c>
      <c r="N13" s="1">
        <f>C13-D13*20-E13*0.8-F13*0.6-H13*5+I13*10+J13/300+G13/1.3</f>
        <v>9.0769230769230766</v>
      </c>
      <c r="O13" s="1"/>
      <c r="P13" s="1">
        <v>11</v>
      </c>
      <c r="Q13" s="1"/>
      <c r="R13" s="1">
        <f t="shared" si="1"/>
        <v>0.26200000000000001</v>
      </c>
      <c r="S13" s="1"/>
      <c r="T13" s="1"/>
    </row>
    <row r="14" spans="1:20" ht="15.75" customHeight="1" x14ac:dyDescent="0.25">
      <c r="A14" s="3" t="s">
        <v>34</v>
      </c>
      <c r="B14" s="3" t="s">
        <v>35</v>
      </c>
      <c r="C14" s="4">
        <v>-3</v>
      </c>
      <c r="D14" s="4">
        <v>0.35</v>
      </c>
      <c r="E14" s="5"/>
      <c r="F14" s="5"/>
      <c r="G14" s="4">
        <v>31</v>
      </c>
      <c r="H14" s="5"/>
      <c r="I14" s="5"/>
      <c r="J14" s="5"/>
      <c r="K14" s="5"/>
      <c r="L14" s="5"/>
      <c r="M14" s="4">
        <v>1000</v>
      </c>
      <c r="N14" s="1">
        <f t="shared" si="0"/>
        <v>13.846153846153847</v>
      </c>
      <c r="O14" s="1"/>
      <c r="P14" s="1"/>
      <c r="Q14" s="1"/>
      <c r="R14" s="1">
        <f t="shared" si="1"/>
        <v>0.02</v>
      </c>
      <c r="S14" s="1"/>
      <c r="T14" s="1"/>
    </row>
    <row r="15" spans="1:20" ht="15.75" customHeight="1" x14ac:dyDescent="0.25">
      <c r="A15" s="3" t="s">
        <v>39</v>
      </c>
      <c r="B15" s="3" t="s">
        <v>40</v>
      </c>
      <c r="C15" s="4">
        <v>16</v>
      </c>
      <c r="D15" s="4">
        <v>0.26</v>
      </c>
      <c r="E15" s="5"/>
      <c r="F15" s="5"/>
      <c r="G15" s="4">
        <v>29</v>
      </c>
      <c r="H15" s="5"/>
      <c r="I15" s="5"/>
      <c r="J15" s="5"/>
      <c r="K15" s="5"/>
      <c r="L15" s="5"/>
      <c r="M15" s="4">
        <v>1000</v>
      </c>
      <c r="N15" s="1">
        <f>C15-D15*20-E15*0.8-F15*0.6-H15*5+I15*10+J15/300+G15/1.3</f>
        <v>33.107692307692304</v>
      </c>
      <c r="O15" s="1"/>
      <c r="P15" s="1"/>
      <c r="Q15" s="1"/>
      <c r="R15" s="1">
        <f t="shared" si="1"/>
        <v>0.02</v>
      </c>
      <c r="S15" s="1"/>
      <c r="T15" s="1"/>
    </row>
    <row r="16" spans="1:20" x14ac:dyDescent="0.25">
      <c r="A16" s="3" t="s">
        <v>38</v>
      </c>
      <c r="B16" s="3" t="s">
        <v>29</v>
      </c>
      <c r="C16" s="4">
        <v>-7</v>
      </c>
      <c r="D16" s="4">
        <v>0.7</v>
      </c>
      <c r="E16" s="5"/>
      <c r="F16" s="5"/>
      <c r="G16" s="4">
        <v>50</v>
      </c>
      <c r="H16" s="5"/>
      <c r="I16" s="5"/>
      <c r="J16" s="5"/>
      <c r="K16" s="5"/>
      <c r="L16" s="5"/>
      <c r="M16" s="4">
        <v>3000</v>
      </c>
      <c r="N16" s="1">
        <f t="shared" si="0"/>
        <v>17.46153846153846</v>
      </c>
      <c r="O16" s="1"/>
      <c r="P16" s="1"/>
      <c r="Q16" s="1"/>
      <c r="R16" s="1">
        <f t="shared" si="1"/>
        <v>0.02</v>
      </c>
      <c r="S16" s="1"/>
      <c r="T16" s="1"/>
    </row>
    <row r="17" spans="1:20" ht="15.75" customHeight="1" x14ac:dyDescent="0.25">
      <c r="A17" s="3" t="s">
        <v>41</v>
      </c>
      <c r="B17" s="3" t="s">
        <v>42</v>
      </c>
      <c r="C17" s="4">
        <v>-8</v>
      </c>
      <c r="D17" s="4">
        <v>0.3</v>
      </c>
      <c r="E17" s="5"/>
      <c r="F17" s="5"/>
      <c r="G17" s="4">
        <v>23</v>
      </c>
      <c r="H17" s="5"/>
      <c r="I17" s="5"/>
      <c r="J17" s="5"/>
      <c r="K17" s="5"/>
      <c r="L17" s="5"/>
      <c r="M17" s="4">
        <v>1000</v>
      </c>
      <c r="N17" s="1">
        <f t="shared" si="0"/>
        <v>3.6923076923076934</v>
      </c>
      <c r="O17" s="1"/>
      <c r="P17" s="1"/>
      <c r="Q17" s="1"/>
      <c r="R17" s="1">
        <f t="shared" si="1"/>
        <v>0.02</v>
      </c>
      <c r="S17" s="1"/>
      <c r="T17" s="1"/>
    </row>
    <row r="18" spans="1:20" ht="15.75" customHeight="1" x14ac:dyDescent="0.25">
      <c r="A18" s="3"/>
      <c r="B18" s="3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1">
        <f t="shared" si="0"/>
        <v>0</v>
      </c>
      <c r="O18" s="1"/>
      <c r="P18" s="1"/>
      <c r="Q18" s="1"/>
      <c r="R18" s="1">
        <f t="shared" si="1"/>
        <v>0.02</v>
      </c>
      <c r="S18" s="1"/>
      <c r="T18" s="1"/>
    </row>
    <row r="19" spans="1:20" ht="15.75" customHeight="1" x14ac:dyDescent="0.25">
      <c r="A19" s="3" t="s">
        <v>43</v>
      </c>
      <c r="B19" s="8" t="s">
        <v>44</v>
      </c>
      <c r="C19" s="4">
        <v>0</v>
      </c>
      <c r="D19" s="4">
        <v>0.02</v>
      </c>
      <c r="E19" s="5"/>
      <c r="F19" s="5"/>
      <c r="G19" s="5"/>
      <c r="H19" s="5"/>
      <c r="I19" s="5"/>
      <c r="J19" s="5"/>
      <c r="K19" s="5"/>
      <c r="L19" s="5"/>
      <c r="M19" s="4">
        <v>0</v>
      </c>
      <c r="N19" s="1">
        <f t="shared" si="0"/>
        <v>-0.4</v>
      </c>
      <c r="O19" s="1"/>
      <c r="P19" s="1"/>
      <c r="Q19" s="1"/>
      <c r="R19" s="1">
        <f t="shared" si="1"/>
        <v>0.02</v>
      </c>
      <c r="S19" s="1"/>
      <c r="T19" s="1"/>
    </row>
    <row r="20" spans="1:20" ht="15.75" customHeight="1" x14ac:dyDescent="0.25">
      <c r="A20" s="3" t="s">
        <v>45</v>
      </c>
      <c r="B20" s="8" t="s">
        <v>46</v>
      </c>
      <c r="C20" s="4">
        <v>0</v>
      </c>
      <c r="D20" s="4">
        <v>0.22</v>
      </c>
      <c r="E20" s="5"/>
      <c r="F20" s="5"/>
      <c r="G20" s="4">
        <v>18</v>
      </c>
      <c r="H20" s="5"/>
      <c r="I20" s="5"/>
      <c r="J20" s="5"/>
      <c r="K20" s="5"/>
      <c r="L20" s="5"/>
      <c r="M20" s="4">
        <v>1000</v>
      </c>
      <c r="N20" s="1">
        <f t="shared" si="0"/>
        <v>9.4461538461538446</v>
      </c>
      <c r="O20" s="1"/>
      <c r="P20" s="1"/>
      <c r="Q20" s="1"/>
      <c r="R20" s="1">
        <f t="shared" si="1"/>
        <v>0.02</v>
      </c>
      <c r="S20" s="1"/>
      <c r="T20" s="1"/>
    </row>
    <row r="21" spans="1:20" ht="15.75" customHeight="1" x14ac:dyDescent="0.25">
      <c r="A21" s="3" t="s">
        <v>47</v>
      </c>
      <c r="B21" s="3" t="s">
        <v>48</v>
      </c>
      <c r="C21" s="4">
        <v>2</v>
      </c>
      <c r="D21" s="4">
        <v>0.19</v>
      </c>
      <c r="E21" s="5"/>
      <c r="F21" s="5"/>
      <c r="G21" s="4">
        <v>15</v>
      </c>
      <c r="H21" s="5"/>
      <c r="I21" s="5"/>
      <c r="J21" s="5"/>
      <c r="K21" s="5"/>
      <c r="L21" s="5"/>
      <c r="M21" s="4">
        <v>500</v>
      </c>
      <c r="N21" s="1">
        <f t="shared" si="0"/>
        <v>9.7384615384615394</v>
      </c>
      <c r="O21" s="1"/>
      <c r="P21" s="1"/>
      <c r="Q21" s="1"/>
      <c r="R21" s="1">
        <f t="shared" si="1"/>
        <v>0.02</v>
      </c>
      <c r="S21" s="1"/>
      <c r="T21" s="1"/>
    </row>
    <row r="22" spans="1:20" x14ac:dyDescent="0.25">
      <c r="A22" s="9" t="s">
        <v>49</v>
      </c>
      <c r="B22" s="9" t="s">
        <v>50</v>
      </c>
      <c r="C22" s="10">
        <v>5</v>
      </c>
      <c r="D22" s="10">
        <v>0.14000000000000001</v>
      </c>
      <c r="E22" s="11"/>
      <c r="F22" s="11"/>
      <c r="G22" s="10">
        <v>10</v>
      </c>
      <c r="H22" s="11"/>
      <c r="I22" s="11"/>
      <c r="J22" s="11"/>
      <c r="K22" s="11"/>
      <c r="L22" s="11"/>
      <c r="M22" s="10">
        <v>0</v>
      </c>
      <c r="N22" s="1">
        <f t="shared" si="0"/>
        <v>9.8923076923076909</v>
      </c>
      <c r="O22" s="1"/>
      <c r="P22" s="1"/>
      <c r="Q22" s="1"/>
      <c r="R22" s="1">
        <f t="shared" si="1"/>
        <v>0.02</v>
      </c>
      <c r="S22" s="1"/>
      <c r="T22" s="1"/>
    </row>
    <row r="23" spans="1:20" ht="15.75" customHeight="1" x14ac:dyDescent="0.25">
      <c r="A23" s="3"/>
      <c r="B23" s="3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1">
        <f t="shared" si="0"/>
        <v>0</v>
      </c>
      <c r="O23" s="1"/>
      <c r="P23" s="1"/>
      <c r="Q23" s="1"/>
      <c r="R23" s="1">
        <f t="shared" si="1"/>
        <v>0.02</v>
      </c>
      <c r="S23" s="1"/>
      <c r="T23" s="1"/>
    </row>
    <row r="24" spans="1:20" ht="15.75" customHeight="1" x14ac:dyDescent="0.25">
      <c r="A24" s="2" t="s">
        <v>51</v>
      </c>
      <c r="B24" s="2" t="s">
        <v>52</v>
      </c>
      <c r="C24" s="6">
        <v>0</v>
      </c>
      <c r="D24" s="6">
        <v>0.02</v>
      </c>
      <c r="E24" s="7"/>
      <c r="F24" s="7"/>
      <c r="G24" s="7"/>
      <c r="H24" s="7"/>
      <c r="I24" s="7"/>
      <c r="J24" s="7"/>
      <c r="K24" s="7"/>
      <c r="L24" s="7"/>
      <c r="M24" s="6">
        <v>0</v>
      </c>
      <c r="N24" s="1">
        <f t="shared" si="0"/>
        <v>-0.4</v>
      </c>
      <c r="O24" s="1"/>
      <c r="P24" s="1"/>
      <c r="Q24" s="1"/>
      <c r="R24" s="1">
        <f t="shared" si="1"/>
        <v>0.02</v>
      </c>
      <c r="S24" s="1"/>
      <c r="T24" s="1"/>
    </row>
    <row r="25" spans="1:20" x14ac:dyDescent="0.25">
      <c r="A25" s="2" t="s">
        <v>53</v>
      </c>
      <c r="B25" s="2" t="s">
        <v>54</v>
      </c>
      <c r="C25" s="6">
        <v>0</v>
      </c>
      <c r="D25" s="6">
        <v>0.22</v>
      </c>
      <c r="E25" s="7"/>
      <c r="F25" s="7"/>
      <c r="G25" s="6">
        <v>17</v>
      </c>
      <c r="H25" s="7"/>
      <c r="I25" s="7"/>
      <c r="J25" s="7"/>
      <c r="K25" s="7"/>
      <c r="L25" s="7"/>
      <c r="M25" s="6">
        <v>0</v>
      </c>
      <c r="N25" s="1">
        <f t="shared" si="0"/>
        <v>8.6769230769230763</v>
      </c>
      <c r="O25" s="1"/>
      <c r="P25" s="1">
        <v>10.6</v>
      </c>
      <c r="Q25" s="1"/>
      <c r="R25" s="1">
        <f t="shared" si="1"/>
        <v>0.25319999999999998</v>
      </c>
      <c r="S25" s="1"/>
      <c r="T25" s="1"/>
    </row>
    <row r="26" spans="1:20" x14ac:dyDescent="0.25">
      <c r="A26" s="2" t="s">
        <v>55</v>
      </c>
      <c r="B26" s="2" t="s">
        <v>56</v>
      </c>
      <c r="C26" s="6">
        <v>-2</v>
      </c>
      <c r="D26" s="6">
        <v>0.28000000000000003</v>
      </c>
      <c r="E26" s="7"/>
      <c r="F26" s="7"/>
      <c r="G26" s="6">
        <v>21</v>
      </c>
      <c r="H26" s="7"/>
      <c r="I26" s="7"/>
      <c r="J26" s="7"/>
      <c r="K26" s="7"/>
      <c r="L26" s="7"/>
      <c r="M26" s="6">
        <v>2000</v>
      </c>
      <c r="N26" s="1">
        <f t="shared" si="0"/>
        <v>8.5538461538461519</v>
      </c>
      <c r="O26" s="1"/>
      <c r="P26" s="1">
        <v>13.2</v>
      </c>
      <c r="Q26" s="1"/>
      <c r="R26" s="1">
        <f t="shared" si="1"/>
        <v>0.31040000000000001</v>
      </c>
      <c r="S26" s="1"/>
      <c r="T26" s="1"/>
    </row>
    <row r="27" spans="1:20" ht="15.75" customHeight="1" x14ac:dyDescent="0.25">
      <c r="A27" s="2" t="s">
        <v>57</v>
      </c>
      <c r="B27" s="2" t="s">
        <v>58</v>
      </c>
      <c r="C27" s="6">
        <v>-6</v>
      </c>
      <c r="D27" s="6">
        <v>0.4</v>
      </c>
      <c r="E27" s="7"/>
      <c r="F27" s="7"/>
      <c r="G27" s="6">
        <v>30</v>
      </c>
      <c r="H27" s="7"/>
      <c r="I27" s="7"/>
      <c r="J27" s="7"/>
      <c r="K27" s="7"/>
      <c r="L27" s="7"/>
      <c r="M27" s="6">
        <v>4000</v>
      </c>
      <c r="N27" s="1">
        <f t="shared" si="0"/>
        <v>9.0769230769230766</v>
      </c>
      <c r="O27" s="1"/>
      <c r="P27">
        <v>19</v>
      </c>
      <c r="Q27" s="1"/>
      <c r="R27" s="1">
        <f t="shared" si="1"/>
        <v>0.438</v>
      </c>
      <c r="S27" s="1"/>
      <c r="T27" s="1"/>
    </row>
    <row r="28" spans="1:20" ht="15.75" customHeight="1" x14ac:dyDescent="0.25"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1">
        <f t="shared" si="0"/>
        <v>0</v>
      </c>
      <c r="O28" s="1"/>
      <c r="P28" s="1"/>
      <c r="Q28" s="1"/>
      <c r="R28" s="1">
        <f t="shared" si="1"/>
        <v>0.02</v>
      </c>
      <c r="S28" s="1"/>
      <c r="T28" s="1"/>
    </row>
    <row r="29" spans="1:20" ht="15.75" customHeight="1" x14ac:dyDescent="0.25">
      <c r="A29" s="2" t="s">
        <v>59</v>
      </c>
      <c r="B29" s="2" t="s">
        <v>60</v>
      </c>
      <c r="C29" s="6">
        <v>0</v>
      </c>
      <c r="D29" s="6">
        <v>0.38</v>
      </c>
      <c r="E29" s="7"/>
      <c r="F29" s="7"/>
      <c r="G29" s="6">
        <v>30</v>
      </c>
      <c r="H29" s="7"/>
      <c r="I29" s="7"/>
      <c r="J29" s="7"/>
      <c r="K29" s="7"/>
      <c r="L29" s="7"/>
      <c r="M29" s="6">
        <v>500</v>
      </c>
      <c r="N29" s="1">
        <f t="shared" si="0"/>
        <v>15.476923076923077</v>
      </c>
      <c r="O29" s="1"/>
      <c r="P29" s="1"/>
      <c r="Q29" s="1"/>
      <c r="R29" s="1">
        <f t="shared" si="1"/>
        <v>0.02</v>
      </c>
      <c r="S29" s="1"/>
      <c r="T29" s="1"/>
    </row>
    <row r="30" spans="1:20" ht="15.75" customHeight="1" x14ac:dyDescent="0.25">
      <c r="A30" s="3"/>
      <c r="B30" s="3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1">
        <f t="shared" si="0"/>
        <v>0</v>
      </c>
      <c r="O30" s="1"/>
      <c r="P30" s="1"/>
      <c r="Q30" s="1"/>
      <c r="R30" s="1">
        <f t="shared" si="1"/>
        <v>0.02</v>
      </c>
      <c r="S30" s="1"/>
      <c r="T30" s="1"/>
    </row>
    <row r="31" spans="1:20" ht="15.75" customHeight="1" x14ac:dyDescent="0.25">
      <c r="A31" s="3" t="s">
        <v>61</v>
      </c>
      <c r="B31" s="3" t="s">
        <v>62</v>
      </c>
      <c r="C31" s="4">
        <v>0</v>
      </c>
      <c r="D31" s="4">
        <v>0.02</v>
      </c>
      <c r="E31" s="5"/>
      <c r="F31" s="5"/>
      <c r="G31" s="5"/>
      <c r="H31" s="5"/>
      <c r="I31" s="5"/>
      <c r="J31" s="5"/>
      <c r="K31" s="5"/>
      <c r="L31" s="5"/>
      <c r="M31" s="4">
        <v>0</v>
      </c>
      <c r="N31" s="1">
        <f t="shared" si="0"/>
        <v>-0.4</v>
      </c>
      <c r="O31" s="1"/>
      <c r="P31" s="1"/>
      <c r="Q31" s="1"/>
      <c r="R31" s="1">
        <f t="shared" si="1"/>
        <v>0.02</v>
      </c>
      <c r="S31" s="1"/>
      <c r="T31" s="1"/>
    </row>
    <row r="32" spans="1:20" ht="15.75" customHeight="1" x14ac:dyDescent="0.25">
      <c r="A32" s="3" t="s">
        <v>63</v>
      </c>
      <c r="B32" s="3" t="s">
        <v>64</v>
      </c>
      <c r="C32" s="4">
        <v>0</v>
      </c>
      <c r="D32" s="4">
        <v>0.34</v>
      </c>
      <c r="E32" s="5"/>
      <c r="F32" s="5"/>
      <c r="G32" s="4">
        <v>30</v>
      </c>
      <c r="H32" s="5"/>
      <c r="I32" s="5"/>
      <c r="J32" s="5"/>
      <c r="K32" s="5"/>
      <c r="L32" s="5"/>
      <c r="M32" s="4">
        <v>0</v>
      </c>
      <c r="N32" s="1">
        <f t="shared" si="0"/>
        <v>16.276923076923076</v>
      </c>
      <c r="O32" s="1"/>
      <c r="P32" s="1"/>
      <c r="Q32" s="1"/>
      <c r="R32" s="1">
        <f t="shared" si="1"/>
        <v>0.02</v>
      </c>
      <c r="S32" s="1"/>
      <c r="T32" s="1"/>
    </row>
    <row r="33" spans="1:20" ht="15.75" customHeight="1" x14ac:dyDescent="0.25">
      <c r="A33" s="3" t="s">
        <v>65</v>
      </c>
      <c r="B33" s="3" t="s">
        <v>66</v>
      </c>
      <c r="C33" s="4">
        <v>9</v>
      </c>
      <c r="D33" s="4">
        <v>0.15</v>
      </c>
      <c r="E33" s="5"/>
      <c r="F33" s="5"/>
      <c r="G33" s="4">
        <v>10</v>
      </c>
      <c r="H33" s="5"/>
      <c r="I33" s="5"/>
      <c r="J33" s="5"/>
      <c r="K33" s="5"/>
      <c r="L33" s="5"/>
      <c r="M33" s="4">
        <v>200</v>
      </c>
      <c r="N33" s="1">
        <f t="shared" si="0"/>
        <v>13.692307692307692</v>
      </c>
      <c r="O33" s="1"/>
      <c r="P33" s="1"/>
      <c r="Q33" s="1"/>
      <c r="R33" s="1">
        <f t="shared" si="1"/>
        <v>0.02</v>
      </c>
      <c r="S33" s="1"/>
      <c r="T33" s="1"/>
    </row>
    <row r="34" spans="1:20" ht="15.75" customHeight="1" x14ac:dyDescent="0.25">
      <c r="A34" s="3" t="s">
        <v>67</v>
      </c>
      <c r="B34" s="3" t="s">
        <v>68</v>
      </c>
      <c r="C34" s="4">
        <v>-9</v>
      </c>
      <c r="D34" s="4">
        <v>0.85</v>
      </c>
      <c r="E34" s="5"/>
      <c r="F34" s="5"/>
      <c r="G34" s="4">
        <v>50</v>
      </c>
      <c r="H34" s="5"/>
      <c r="I34" s="5"/>
      <c r="J34" s="5"/>
      <c r="K34" s="5"/>
      <c r="L34" s="5"/>
      <c r="M34" s="4">
        <v>3000</v>
      </c>
      <c r="N34" s="1">
        <f t="shared" si="0"/>
        <v>12.46153846153846</v>
      </c>
      <c r="O34" s="1"/>
      <c r="P34" s="1">
        <v>42</v>
      </c>
      <c r="Q34" s="1"/>
      <c r="R34" s="1">
        <f t="shared" si="1"/>
        <v>0.94399999999999995</v>
      </c>
      <c r="S34" s="1"/>
      <c r="T34" s="1"/>
    </row>
    <row r="35" spans="1:20" ht="15.75" customHeight="1" x14ac:dyDescent="0.25">
      <c r="A35" s="3"/>
      <c r="B35" s="3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1">
        <f t="shared" si="0"/>
        <v>0</v>
      </c>
      <c r="O35" s="1"/>
      <c r="P35" s="1"/>
      <c r="Q35" s="1"/>
      <c r="R35" s="1">
        <f t="shared" si="1"/>
        <v>0.02</v>
      </c>
      <c r="S35" s="1"/>
      <c r="T35" s="1"/>
    </row>
    <row r="36" spans="1:20" ht="15.75" customHeight="1" x14ac:dyDescent="0.25">
      <c r="A36" s="3" t="s">
        <v>69</v>
      </c>
      <c r="B36" s="3" t="s">
        <v>70</v>
      </c>
      <c r="C36" s="4">
        <v>0</v>
      </c>
      <c r="D36" s="4">
        <v>0.02</v>
      </c>
      <c r="E36" s="5"/>
      <c r="F36" s="5"/>
      <c r="G36" s="5"/>
      <c r="H36" s="5"/>
      <c r="I36" s="5"/>
      <c r="J36" s="5"/>
      <c r="K36" s="5"/>
      <c r="L36" s="5"/>
      <c r="M36" s="4">
        <v>0</v>
      </c>
      <c r="N36" s="1">
        <f t="shared" si="0"/>
        <v>-0.4</v>
      </c>
      <c r="O36" s="1"/>
      <c r="P36" s="1"/>
      <c r="Q36" s="1"/>
      <c r="R36" s="1">
        <f t="shared" si="1"/>
        <v>0.02</v>
      </c>
      <c r="S36" s="1"/>
      <c r="T36" s="1"/>
    </row>
    <row r="37" spans="1:20" ht="15.75" customHeight="1" x14ac:dyDescent="0.25">
      <c r="A37" s="3" t="s">
        <v>71</v>
      </c>
      <c r="B37" s="3" t="s">
        <v>72</v>
      </c>
      <c r="C37" s="4">
        <v>0</v>
      </c>
      <c r="D37" s="4">
        <v>0.35</v>
      </c>
      <c r="E37" s="5"/>
      <c r="F37" s="5"/>
      <c r="G37" s="4">
        <v>30</v>
      </c>
      <c r="H37" s="5"/>
      <c r="I37" s="5"/>
      <c r="J37" s="5"/>
      <c r="K37" s="5"/>
      <c r="L37" s="5"/>
      <c r="M37" s="4">
        <v>0</v>
      </c>
      <c r="N37" s="1">
        <f t="shared" si="0"/>
        <v>16.076923076923077</v>
      </c>
      <c r="O37" s="1"/>
      <c r="P37">
        <v>17</v>
      </c>
      <c r="Q37" s="1"/>
      <c r="R37" s="1">
        <f t="shared" si="1"/>
        <v>0.39400000000000002</v>
      </c>
      <c r="S37" s="1"/>
      <c r="T37" s="1"/>
    </row>
    <row r="38" spans="1:20" ht="15.75" customHeight="1" x14ac:dyDescent="0.25">
      <c r="A38" s="2" t="s">
        <v>73</v>
      </c>
      <c r="B38" s="2" t="s">
        <v>74</v>
      </c>
      <c r="C38" s="6">
        <v>1</v>
      </c>
      <c r="D38" s="6">
        <v>0.37</v>
      </c>
      <c r="E38" s="7"/>
      <c r="F38" s="7"/>
      <c r="G38" s="6">
        <v>30</v>
      </c>
      <c r="H38" s="7"/>
      <c r="I38" s="7"/>
      <c r="J38" s="7"/>
      <c r="K38" s="7"/>
      <c r="L38" s="7"/>
      <c r="M38" s="6">
        <v>500</v>
      </c>
      <c r="N38" s="1">
        <f t="shared" si="0"/>
        <v>16.676923076923075</v>
      </c>
      <c r="O38" s="1"/>
      <c r="P38" s="1"/>
      <c r="Q38" s="1"/>
      <c r="R38" s="1">
        <f t="shared" si="1"/>
        <v>0.02</v>
      </c>
      <c r="S38" s="1"/>
      <c r="T38" s="1"/>
    </row>
    <row r="39" spans="1:20" ht="15.75" customHeight="1" x14ac:dyDescent="0.25">
      <c r="A39" s="2" t="s">
        <v>75</v>
      </c>
      <c r="B39" s="2" t="s">
        <v>76</v>
      </c>
      <c r="C39" s="6">
        <v>-9</v>
      </c>
      <c r="D39" s="6">
        <v>0.83</v>
      </c>
      <c r="E39" s="7"/>
      <c r="F39" s="7"/>
      <c r="G39" s="6">
        <v>50</v>
      </c>
      <c r="H39" s="7"/>
      <c r="I39" s="7"/>
      <c r="J39" s="7"/>
      <c r="K39" s="7"/>
      <c r="L39" s="7"/>
      <c r="M39" s="6">
        <v>3000</v>
      </c>
      <c r="N39" s="1">
        <f t="shared" si="0"/>
        <v>12.861538461538462</v>
      </c>
      <c r="O39" s="1"/>
      <c r="P39" s="1">
        <v>40</v>
      </c>
      <c r="Q39" s="1"/>
      <c r="R39" s="1">
        <f t="shared" si="1"/>
        <v>0.89999999999999991</v>
      </c>
      <c r="S39" s="1"/>
      <c r="T39" s="1"/>
    </row>
    <row r="40" spans="1:20" ht="15.75" customHeight="1" x14ac:dyDescent="0.25"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1">
        <f t="shared" si="0"/>
        <v>0</v>
      </c>
      <c r="O40" s="1"/>
      <c r="P40" s="1"/>
      <c r="Q40" s="1"/>
      <c r="R40" s="1">
        <f t="shared" si="1"/>
        <v>0.02</v>
      </c>
      <c r="S40" s="1"/>
      <c r="T40" s="1"/>
    </row>
    <row r="41" spans="1:20" ht="15.75" customHeight="1" x14ac:dyDescent="0.25">
      <c r="A41" s="2" t="s">
        <v>77</v>
      </c>
      <c r="B41" s="2" t="s">
        <v>78</v>
      </c>
      <c r="C41" s="6">
        <v>0</v>
      </c>
      <c r="D41" s="6">
        <v>0.34</v>
      </c>
      <c r="E41" s="7"/>
      <c r="F41" s="7"/>
      <c r="G41" s="6">
        <v>25</v>
      </c>
      <c r="H41" s="7"/>
      <c r="I41" s="7"/>
      <c r="J41" s="7"/>
      <c r="K41" s="7"/>
      <c r="L41" s="7"/>
      <c r="M41" s="6">
        <v>500</v>
      </c>
      <c r="N41" s="1">
        <f t="shared" si="0"/>
        <v>12.430769230769229</v>
      </c>
      <c r="O41" s="1"/>
      <c r="P41" s="1"/>
      <c r="Q41" s="1"/>
      <c r="R41" s="1">
        <f t="shared" si="1"/>
        <v>0.02</v>
      </c>
      <c r="S41" s="1"/>
      <c r="T41" s="1"/>
    </row>
    <row r="42" spans="1:20" ht="15.75" customHeight="1" x14ac:dyDescent="0.25">
      <c r="A42" s="2" t="s">
        <v>79</v>
      </c>
      <c r="B42" s="2" t="s">
        <v>80</v>
      </c>
      <c r="C42" s="6">
        <v>-4</v>
      </c>
      <c r="D42" s="6">
        <v>0.39</v>
      </c>
      <c r="E42" s="7"/>
      <c r="F42" s="7"/>
      <c r="G42" s="6">
        <v>32</v>
      </c>
      <c r="H42" s="7"/>
      <c r="I42" s="7"/>
      <c r="J42" s="7"/>
      <c r="K42" s="7"/>
      <c r="L42" s="7"/>
      <c r="M42" s="6">
        <v>750</v>
      </c>
      <c r="N42" s="1">
        <f t="shared" si="0"/>
        <v>12.815384615384612</v>
      </c>
      <c r="O42" s="1"/>
      <c r="P42" s="1"/>
      <c r="Q42" s="1"/>
      <c r="R42" s="1">
        <f t="shared" si="1"/>
        <v>0.02</v>
      </c>
      <c r="S42" s="1"/>
      <c r="T42" s="1"/>
    </row>
    <row r="43" spans="1:20" ht="15.75" customHeight="1" x14ac:dyDescent="0.25">
      <c r="A43" s="2" t="s">
        <v>81</v>
      </c>
      <c r="B43" s="2" t="s">
        <v>82</v>
      </c>
      <c r="C43" s="6">
        <v>-8</v>
      </c>
      <c r="D43" s="6">
        <v>0.5</v>
      </c>
      <c r="E43" s="7"/>
      <c r="F43" s="7"/>
      <c r="G43" s="6">
        <v>40</v>
      </c>
      <c r="H43" s="7"/>
      <c r="I43" s="7"/>
      <c r="J43" s="7"/>
      <c r="K43" s="7"/>
      <c r="L43" s="7"/>
      <c r="M43" s="6">
        <v>1000</v>
      </c>
      <c r="N43" s="1">
        <f t="shared" si="0"/>
        <v>12.769230769230766</v>
      </c>
      <c r="O43" s="1"/>
      <c r="P43" s="1">
        <v>22</v>
      </c>
      <c r="Q43" s="1"/>
      <c r="R43" s="1">
        <f t="shared" si="1"/>
        <v>0.504</v>
      </c>
      <c r="S43" s="1"/>
      <c r="T43" s="1"/>
    </row>
    <row r="44" spans="1:20" ht="15.75" customHeight="1" x14ac:dyDescent="0.25"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1">
        <f t="shared" si="0"/>
        <v>0</v>
      </c>
      <c r="O44" s="1"/>
      <c r="P44" s="1"/>
      <c r="Q44" s="1"/>
      <c r="R44" s="1">
        <f t="shared" si="1"/>
        <v>0.02</v>
      </c>
      <c r="S44" s="1"/>
      <c r="T44" s="1"/>
    </row>
    <row r="45" spans="1:20" ht="15.75" customHeight="1" x14ac:dyDescent="0.25">
      <c r="A45" s="2" t="s">
        <v>83</v>
      </c>
      <c r="B45" s="2" t="s">
        <v>84</v>
      </c>
      <c r="C45" s="6">
        <v>0</v>
      </c>
      <c r="D45" s="6">
        <v>0.39</v>
      </c>
      <c r="E45" s="7"/>
      <c r="F45" s="7"/>
      <c r="G45" s="6">
        <v>32</v>
      </c>
      <c r="H45" s="7"/>
      <c r="I45" s="7"/>
      <c r="J45" s="7"/>
      <c r="K45" s="7"/>
      <c r="L45" s="7"/>
      <c r="M45" s="6">
        <v>0</v>
      </c>
      <c r="N45" s="1">
        <f t="shared" si="0"/>
        <v>16.815384615384612</v>
      </c>
      <c r="O45" s="1"/>
      <c r="P45" s="1"/>
      <c r="Q45" s="1"/>
      <c r="R45" s="1">
        <f t="shared" si="1"/>
        <v>0.02</v>
      </c>
      <c r="S45" s="1"/>
      <c r="T45" s="1"/>
    </row>
    <row r="46" spans="1:20" ht="15.75" customHeight="1" x14ac:dyDescent="0.25">
      <c r="A46" s="2" t="s">
        <v>85</v>
      </c>
      <c r="B46" s="2" t="s">
        <v>86</v>
      </c>
      <c r="C46" s="6">
        <v>6</v>
      </c>
      <c r="D46" s="6">
        <v>0.27</v>
      </c>
      <c r="E46" s="7"/>
      <c r="F46" s="7"/>
      <c r="G46" s="6">
        <v>20</v>
      </c>
      <c r="H46" s="7"/>
      <c r="I46" s="7"/>
      <c r="J46" s="7"/>
      <c r="K46" s="7"/>
      <c r="L46" s="7"/>
      <c r="M46" s="6">
        <v>400</v>
      </c>
      <c r="N46" s="1">
        <f t="shared" si="0"/>
        <v>15.984615384615383</v>
      </c>
      <c r="O46" s="1"/>
      <c r="P46" s="1"/>
      <c r="Q46" s="1"/>
      <c r="R46" s="1">
        <f t="shared" si="1"/>
        <v>0.02</v>
      </c>
      <c r="S46" s="1"/>
      <c r="T46" s="1"/>
    </row>
    <row r="47" spans="1:20" ht="15.75" customHeight="1" x14ac:dyDescent="0.25">
      <c r="A47" s="2" t="s">
        <v>87</v>
      </c>
      <c r="B47" s="2" t="s">
        <v>88</v>
      </c>
      <c r="C47" s="6">
        <v>10</v>
      </c>
      <c r="D47" s="6">
        <v>0.13</v>
      </c>
      <c r="E47" s="7"/>
      <c r="F47" s="7"/>
      <c r="G47" s="6">
        <v>10</v>
      </c>
      <c r="H47" s="7"/>
      <c r="I47" s="7"/>
      <c r="J47" s="7"/>
      <c r="K47" s="7"/>
      <c r="L47" s="7"/>
      <c r="M47" s="6">
        <v>200</v>
      </c>
      <c r="N47" s="1">
        <f t="shared" si="0"/>
        <v>15.092307692307692</v>
      </c>
      <c r="O47" s="1"/>
      <c r="P47" s="1"/>
      <c r="Q47" s="1"/>
      <c r="R47" s="1">
        <f t="shared" si="1"/>
        <v>0.02</v>
      </c>
      <c r="S47" s="1"/>
      <c r="T47" s="1"/>
    </row>
    <row r="48" spans="1:20" ht="15.75" customHeight="1" x14ac:dyDescent="0.25">
      <c r="A48" s="2" t="s">
        <v>89</v>
      </c>
      <c r="B48" s="2" t="s">
        <v>90</v>
      </c>
      <c r="C48" s="6">
        <v>-15</v>
      </c>
      <c r="D48" s="6">
        <v>0.77</v>
      </c>
      <c r="E48" s="7"/>
      <c r="F48" s="7"/>
      <c r="G48" s="6">
        <v>50</v>
      </c>
      <c r="H48" s="6"/>
      <c r="I48" s="7"/>
      <c r="J48" s="7"/>
      <c r="K48" s="7"/>
      <c r="L48" s="7"/>
      <c r="M48" s="6">
        <v>5000</v>
      </c>
      <c r="N48" s="1">
        <f t="shared" si="0"/>
        <v>8.0615384615384613</v>
      </c>
      <c r="O48" s="1"/>
      <c r="P48" s="1"/>
      <c r="Q48" s="1"/>
      <c r="R48" s="1">
        <f t="shared" si="1"/>
        <v>0.02</v>
      </c>
      <c r="S48" s="1"/>
      <c r="T48" s="1"/>
    </row>
    <row r="49" spans="1:20" ht="15.75" customHeight="1" x14ac:dyDescent="0.25">
      <c r="A49" s="2" t="s">
        <v>91</v>
      </c>
      <c r="B49" s="2" t="s">
        <v>92</v>
      </c>
      <c r="C49" s="6">
        <v>-6</v>
      </c>
      <c r="D49" s="6">
        <v>0.12</v>
      </c>
      <c r="E49" s="7"/>
      <c r="F49" s="7"/>
      <c r="G49" s="6">
        <v>10</v>
      </c>
      <c r="H49" s="7"/>
      <c r="I49" s="7"/>
      <c r="J49" s="7"/>
      <c r="K49" s="7"/>
      <c r="L49" s="7"/>
      <c r="M49" s="6">
        <v>1000</v>
      </c>
      <c r="N49" s="1">
        <f t="shared" si="0"/>
        <v>-0.70769230769230873</v>
      </c>
      <c r="O49" s="1"/>
      <c r="P49" s="1"/>
      <c r="Q49" s="1"/>
      <c r="R49" s="1">
        <f t="shared" si="1"/>
        <v>0.02</v>
      </c>
      <c r="S49" s="1"/>
      <c r="T49" s="1"/>
    </row>
    <row r="50" spans="1:20" ht="15.75" customHeight="1" x14ac:dyDescent="0.25">
      <c r="A50" s="2" t="s">
        <v>93</v>
      </c>
      <c r="B50" s="2" t="s">
        <v>94</v>
      </c>
      <c r="C50" s="6">
        <v>-40</v>
      </c>
      <c r="D50" s="6">
        <v>0.56999999999999995</v>
      </c>
      <c r="E50" s="6"/>
      <c r="F50" s="6"/>
      <c r="G50" s="6">
        <v>50</v>
      </c>
      <c r="H50" s="6"/>
      <c r="I50" s="7"/>
      <c r="J50" s="7"/>
      <c r="K50" s="7"/>
      <c r="L50" s="7"/>
      <c r="M50" s="6">
        <v>5000</v>
      </c>
      <c r="N50" s="1">
        <f t="shared" si="0"/>
        <v>-12.938461538461539</v>
      </c>
      <c r="O50" s="1"/>
      <c r="P50" s="1"/>
      <c r="Q50" s="1"/>
      <c r="R50" s="1">
        <f t="shared" si="1"/>
        <v>0.02</v>
      </c>
      <c r="S50" s="1"/>
      <c r="T50" s="1"/>
    </row>
    <row r="51" spans="1:20" ht="15.75" customHeight="1" x14ac:dyDescent="0.25">
      <c r="A51" s="2" t="s">
        <v>95</v>
      </c>
      <c r="B51" s="2" t="s">
        <v>96</v>
      </c>
      <c r="C51" s="6">
        <v>-2</v>
      </c>
      <c r="D51" s="6">
        <v>0.1</v>
      </c>
      <c r="E51" s="7"/>
      <c r="F51" s="7"/>
      <c r="G51" s="7"/>
      <c r="H51" s="7"/>
      <c r="I51" s="7"/>
      <c r="J51" s="7"/>
      <c r="K51" s="7"/>
      <c r="L51" s="7"/>
      <c r="M51" s="6">
        <v>0</v>
      </c>
      <c r="N51" s="1">
        <f t="shared" si="0"/>
        <v>-4</v>
      </c>
      <c r="O51" s="1"/>
      <c r="P51" s="1"/>
      <c r="Q51" s="1"/>
      <c r="R51" s="1">
        <f t="shared" si="1"/>
        <v>0.02</v>
      </c>
      <c r="S51" s="1"/>
      <c r="T51" s="1"/>
    </row>
    <row r="52" spans="1:20" ht="15.75" customHeight="1" x14ac:dyDescent="0.25">
      <c r="N52" s="1">
        <f t="shared" si="0"/>
        <v>0</v>
      </c>
      <c r="O52" s="1"/>
      <c r="P52" s="1"/>
      <c r="Q52" s="1"/>
      <c r="R52" s="1"/>
      <c r="S52" s="1"/>
      <c r="T52" s="1"/>
    </row>
    <row r="53" spans="1:20" ht="15.75" customHeight="1" x14ac:dyDescent="0.25">
      <c r="N53" s="1">
        <f t="shared" si="0"/>
        <v>0</v>
      </c>
      <c r="O53" s="1"/>
      <c r="P53" s="1"/>
      <c r="Q53" s="1"/>
      <c r="R53" s="1"/>
      <c r="S53" s="1"/>
      <c r="T53" s="1"/>
    </row>
    <row r="54" spans="1:20" ht="15.75" customHeight="1" x14ac:dyDescent="0.25">
      <c r="N54" s="1">
        <f t="shared" si="0"/>
        <v>0</v>
      </c>
      <c r="O54" s="1"/>
      <c r="P54" s="1"/>
      <c r="Q54" s="1"/>
      <c r="R54" s="1"/>
      <c r="S54" s="1"/>
      <c r="T54" s="1"/>
    </row>
    <row r="55" spans="1:20" ht="15.75" customHeight="1" x14ac:dyDescent="0.25">
      <c r="N55" s="1">
        <f t="shared" si="0"/>
        <v>0</v>
      </c>
      <c r="O55" s="1"/>
      <c r="P55" s="1"/>
      <c r="Q55" s="1"/>
      <c r="R55" s="1"/>
      <c r="S55" s="1"/>
      <c r="T55" s="1"/>
    </row>
    <row r="56" spans="1:20" ht="15.75" customHeight="1" x14ac:dyDescent="0.25">
      <c r="N56" s="1">
        <f t="shared" si="0"/>
        <v>0</v>
      </c>
      <c r="O56" s="1"/>
      <c r="P56" s="1"/>
      <c r="Q56" s="1"/>
      <c r="R56" s="1"/>
      <c r="S56" s="1"/>
      <c r="T56" s="1"/>
    </row>
    <row r="57" spans="1:20" ht="15.75" customHeight="1" x14ac:dyDescent="0.25">
      <c r="N57" s="1">
        <f t="shared" si="0"/>
        <v>0</v>
      </c>
      <c r="O57" s="1"/>
      <c r="P57" s="1"/>
      <c r="Q57" s="1"/>
      <c r="R57" s="1"/>
      <c r="S57" s="1"/>
      <c r="T57" s="1"/>
    </row>
    <row r="58" spans="1:20" ht="15.75" customHeight="1" x14ac:dyDescent="0.25">
      <c r="N58" s="1">
        <f t="shared" si="0"/>
        <v>0</v>
      </c>
      <c r="O58" s="1"/>
      <c r="P58" s="1"/>
      <c r="Q58" s="1"/>
      <c r="R58" s="1"/>
      <c r="S58" s="1"/>
      <c r="T58" s="1"/>
    </row>
    <row r="59" spans="1:20" ht="15.75" customHeight="1" x14ac:dyDescent="0.25">
      <c r="N59" s="1">
        <f t="shared" si="0"/>
        <v>0</v>
      </c>
      <c r="O59" s="1"/>
      <c r="P59" s="1"/>
      <c r="Q59" s="1"/>
      <c r="R59" s="1"/>
      <c r="S59" s="1"/>
      <c r="T59" s="1"/>
    </row>
    <row r="60" spans="1:20" ht="15.75" customHeight="1" x14ac:dyDescent="0.25">
      <c r="N60" s="1">
        <f t="shared" si="0"/>
        <v>0</v>
      </c>
      <c r="O60" s="1"/>
      <c r="P60" s="1"/>
      <c r="Q60" s="1"/>
      <c r="R60" s="1"/>
      <c r="S60" s="1"/>
      <c r="T60" s="1"/>
    </row>
    <row r="61" spans="1:20" ht="15.75" customHeight="1" x14ac:dyDescent="0.25">
      <c r="N61" s="1">
        <f t="shared" si="0"/>
        <v>0</v>
      </c>
      <c r="O61" s="1"/>
      <c r="P61" s="1"/>
      <c r="Q61" s="1"/>
      <c r="R61" s="1"/>
      <c r="S61" s="1"/>
      <c r="T61" s="1"/>
    </row>
    <row r="62" spans="1:20" ht="15.75" customHeight="1" x14ac:dyDescent="0.25">
      <c r="N62" s="1">
        <f t="shared" si="0"/>
        <v>0</v>
      </c>
      <c r="O62" s="1"/>
      <c r="P62" s="1"/>
      <c r="Q62" s="1"/>
      <c r="R62" s="1"/>
      <c r="S62" s="1"/>
      <c r="T62" s="1"/>
    </row>
    <row r="63" spans="1:20" ht="15.75" customHeight="1" x14ac:dyDescent="0.25">
      <c r="N63" s="1">
        <f t="shared" si="0"/>
        <v>0</v>
      </c>
      <c r="O63" s="1"/>
      <c r="P63" s="1"/>
      <c r="Q63" s="1"/>
      <c r="R63" s="1"/>
      <c r="S63" s="1"/>
      <c r="T63" s="1"/>
    </row>
    <row r="64" spans="1:20" ht="15.75" customHeight="1" x14ac:dyDescent="0.25">
      <c r="N64" s="1">
        <f t="shared" si="0"/>
        <v>0</v>
      </c>
      <c r="O64" s="1"/>
      <c r="P64" s="1"/>
      <c r="Q64" s="1"/>
      <c r="R64" s="1"/>
      <c r="S64" s="1"/>
      <c r="T64" s="1"/>
    </row>
    <row r="65" spans="14:20" ht="15.75" customHeight="1" x14ac:dyDescent="0.25">
      <c r="N65" s="1">
        <f t="shared" si="0"/>
        <v>0</v>
      </c>
      <c r="O65" s="1"/>
      <c r="P65" s="1"/>
      <c r="Q65" s="1"/>
      <c r="R65" s="1"/>
      <c r="S65" s="1"/>
      <c r="T65" s="1"/>
    </row>
    <row r="66" spans="14:20" ht="15.75" customHeight="1" x14ac:dyDescent="0.25">
      <c r="N66" s="1">
        <f t="shared" si="0"/>
        <v>0</v>
      </c>
      <c r="O66" s="1"/>
      <c r="P66" s="1"/>
      <c r="Q66" s="1"/>
      <c r="R66" s="1"/>
      <c r="S66" s="1"/>
      <c r="T66" s="1"/>
    </row>
    <row r="67" spans="14:20" ht="15.75" customHeight="1" x14ac:dyDescent="0.25">
      <c r="N67" s="1">
        <f t="shared" si="0"/>
        <v>0</v>
      </c>
      <c r="O67" s="1"/>
      <c r="P67" s="1"/>
      <c r="Q67" s="1"/>
      <c r="R67" s="1"/>
      <c r="S67" s="1"/>
      <c r="T67" s="1"/>
    </row>
    <row r="68" spans="14:20" ht="15.75" customHeight="1" x14ac:dyDescent="0.25">
      <c r="N68" s="1">
        <f t="shared" si="0"/>
        <v>0</v>
      </c>
      <c r="O68" s="1"/>
      <c r="P68" s="1"/>
      <c r="Q68" s="1"/>
      <c r="R68" s="1"/>
      <c r="S68" s="1"/>
      <c r="T68" s="1"/>
    </row>
    <row r="69" spans="14:20" ht="15.75" customHeight="1" x14ac:dyDescent="0.25">
      <c r="N69" s="1">
        <f t="shared" si="0"/>
        <v>0</v>
      </c>
      <c r="O69" s="1"/>
      <c r="P69" s="1"/>
      <c r="Q69" s="1"/>
      <c r="R69" s="1"/>
      <c r="S69" s="1"/>
      <c r="T69" s="1"/>
    </row>
    <row r="70" spans="14:20" ht="15.75" customHeight="1" x14ac:dyDescent="0.25">
      <c r="N70" s="1">
        <f t="shared" si="0"/>
        <v>0</v>
      </c>
      <c r="O70" s="1"/>
      <c r="P70" s="1"/>
      <c r="Q70" s="1"/>
      <c r="R70" s="1"/>
      <c r="S70" s="1"/>
      <c r="T70" s="1"/>
    </row>
    <row r="71" spans="14:20" ht="15.75" customHeight="1" x14ac:dyDescent="0.25">
      <c r="N71" s="1">
        <f t="shared" si="0"/>
        <v>0</v>
      </c>
      <c r="O71" s="1"/>
      <c r="P71" s="1"/>
      <c r="Q71" s="1"/>
      <c r="R71" s="1"/>
      <c r="S71" s="1"/>
      <c r="T71" s="1"/>
    </row>
    <row r="72" spans="14:20" ht="15.75" customHeight="1" x14ac:dyDescent="0.25">
      <c r="N72" s="1">
        <f t="shared" si="0"/>
        <v>0</v>
      </c>
      <c r="O72" s="1"/>
      <c r="P72" s="1"/>
      <c r="Q72" s="1"/>
      <c r="R72" s="1"/>
      <c r="S72" s="1"/>
      <c r="T72" s="1"/>
    </row>
    <row r="73" spans="14:20" ht="15.75" customHeight="1" x14ac:dyDescent="0.25">
      <c r="N73" s="1">
        <f t="shared" si="0"/>
        <v>0</v>
      </c>
      <c r="O73" s="1"/>
      <c r="P73" s="1"/>
      <c r="Q73" s="1"/>
      <c r="R73" s="1"/>
      <c r="S73" s="1"/>
      <c r="T73" s="1"/>
    </row>
    <row r="74" spans="14:20" ht="15.75" customHeight="1" x14ac:dyDescent="0.25">
      <c r="N74" s="1">
        <f t="shared" si="0"/>
        <v>0</v>
      </c>
      <c r="O74" s="1"/>
      <c r="P74" s="1"/>
      <c r="Q74" s="1"/>
      <c r="R74" s="1"/>
      <c r="S74" s="1"/>
      <c r="T74" s="1"/>
    </row>
    <row r="75" spans="14:20" ht="15.75" customHeight="1" x14ac:dyDescent="0.25"/>
    <row r="76" spans="14:20" ht="15.75" customHeight="1" x14ac:dyDescent="0.25"/>
    <row r="77" spans="14:20" ht="15.75" customHeight="1" x14ac:dyDescent="0.25"/>
    <row r="78" spans="14:20" ht="15.75" customHeight="1" x14ac:dyDescent="0.25"/>
    <row r="79" spans="14:20" ht="15.75" customHeight="1" x14ac:dyDescent="0.25"/>
    <row r="80" spans="14:2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9mm-mags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modified xsi:type="dcterms:W3CDTF">2026-07-30T09:33:14Z</dcterms:modified>
</cp:coreProperties>
</file>