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hyTh\Documents\GitHub\deadline-balancing\changes\"/>
    </mc:Choice>
  </mc:AlternateContent>
  <xr:revisionPtr revIDLastSave="0" documentId="13_ncr:1_{3C64365C-61EC-4268-AA9C-78F1918C20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4-barre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1" l="1"/>
  <c r="O6" i="1"/>
  <c r="O7" i="1"/>
  <c r="O15" i="1"/>
  <c r="O13" i="1"/>
  <c r="O24" i="1"/>
  <c r="O4" i="1"/>
  <c r="O8" i="1"/>
  <c r="O9" i="1"/>
  <c r="O10" i="1"/>
  <c r="O11" i="1"/>
  <c r="O12" i="1"/>
  <c r="O14" i="1"/>
  <c r="O16" i="1"/>
  <c r="O17" i="1"/>
  <c r="O18" i="1"/>
  <c r="O19" i="1"/>
  <c r="O20" i="1"/>
  <c r="O21" i="1"/>
  <c r="O22" i="1"/>
  <c r="O23" i="1"/>
  <c r="O25" i="1"/>
  <c r="O26" i="1"/>
  <c r="O27" i="1"/>
  <c r="O29" i="1"/>
  <c r="O30" i="1"/>
  <c r="O31" i="1"/>
  <c r="O33" i="1"/>
  <c r="O3" i="1"/>
  <c r="O35" i="1"/>
  <c r="O36" i="1"/>
</calcChain>
</file>

<file path=xl/sharedStrings.xml><?xml version="1.0" encoding="utf-8"?>
<sst xmlns="http://schemas.openxmlformats.org/spreadsheetml/2006/main" count="78" uniqueCount="78">
  <si>
    <t>new</t>
  </si>
  <si>
    <t>name</t>
  </si>
  <si>
    <t>pretty_name</t>
  </si>
  <si>
    <t>strength</t>
  </si>
  <si>
    <t>ergonomics</t>
  </si>
  <si>
    <t>weight</t>
  </si>
  <si>
    <t>horizontal_recoil</t>
  </si>
  <si>
    <t>vertical_recoil</t>
  </si>
  <si>
    <t>magazine_capacity</t>
  </si>
  <si>
    <t>bullet_damage</t>
  </si>
  <si>
    <t>bullet_velocity</t>
  </si>
  <si>
    <t>buck_bullet_deviation</t>
  </si>
  <si>
    <t>fire_rate</t>
  </si>
  <si>
    <t>price</t>
  </si>
  <si>
    <t>custom4port</t>
  </si>
  <si>
    <t>CUSTOM4PORT</t>
  </si>
  <si>
    <t>fd917</t>
  </si>
  <si>
    <t>FD917</t>
  </si>
  <si>
    <t>alphadog_alpha9_flipped</t>
  </si>
  <si>
    <t>Alpha Dog Alpha 9 9x19 Flipped</t>
  </si>
  <si>
    <t>alphadog_alpha9</t>
  </si>
  <si>
    <t>sig_srd9_9x19</t>
  </si>
  <si>
    <t>9x19_naughty_9</t>
  </si>
  <si>
    <t>Naughty-9</t>
  </si>
  <si>
    <t>9x19_thread_protector</t>
  </si>
  <si>
    <t>9x19 Thread Protector</t>
  </si>
  <si>
    <t>ips_9x19_1inch_barrel_extension</t>
  </si>
  <si>
    <t>wasatch_arms_comp_weight_compensator_10mm</t>
  </si>
  <si>
    <t>Wasatch Arms Comp Weight 10mm Compensator for Glock 20</t>
  </si>
  <si>
    <t>hk_mp5sd_9x19_suppressor</t>
  </si>
  <si>
    <t>9x19_rotor43_8chamber_pf940_suppressor</t>
  </si>
  <si>
    <t>Rotor 43 8 Chambered 9x19 PF940</t>
  </si>
  <si>
    <t>barrel_deviation</t>
  </si>
  <si>
    <t>muzzle_loudness</t>
  </si>
  <si>
    <t>MPi54SD 9x19</t>
  </si>
  <si>
    <t>mp5_nowa_style_muzzle_brake_th</t>
  </si>
  <si>
    <t>MPi-54 Nowa Style</t>
  </si>
  <si>
    <t>Alpha Dog Alpha 9 9x19</t>
  </si>
  <si>
    <t>suppressors_inc_osprey9_gen1_9x19_suppressor</t>
  </si>
  <si>
    <t>Suppressors Inc. Osprey 9 Gen 1 9x19</t>
  </si>
  <si>
    <t>suppressors_inc_osprey9_gen1_9x19_suppressor_flipped</t>
  </si>
  <si>
    <t>Suppressors Inc. Osprey 9 Gen 1 9x19 Flipped</t>
  </si>
  <si>
    <t>resiliant_suppressors_obsidian_9_9x19_piston</t>
  </si>
  <si>
    <t>Resiliant Suppressors Obsidian9 9x19 Piston</t>
  </si>
  <si>
    <t>resiliant_suppressors_obsidian_9_3lug_piston</t>
  </si>
  <si>
    <t>Resiliant Suppressors Obsidian9 3-Lug Piston</t>
  </si>
  <si>
    <t>resiliant_suppressors_obsidian_9_body</t>
  </si>
  <si>
    <t>Resiliant Suppressors Obsidian9 9x19 Body</t>
  </si>
  <si>
    <t>resiliant_suppressors_obsidian_9_extension</t>
  </si>
  <si>
    <t>Resiliant Suppressors Obsidian9 9x19 Extension</t>
  </si>
  <si>
    <t>resiliant_suppressors_obsidian_9_cap</t>
  </si>
  <si>
    <t>Resiliant Suppressors Obsidian9 9x19 Cap</t>
  </si>
  <si>
    <t>IPS 1" 9x19</t>
  </si>
  <si>
    <t>whitner_defense_9x19_thread_protector</t>
  </si>
  <si>
    <t>Whitner Defense 9x19</t>
  </si>
  <si>
    <t>vyctor_vc9_9x19_compensator</t>
  </si>
  <si>
    <t>VYCTOR VC-9 9x19</t>
  </si>
  <si>
    <t>SIC SRD 9 9x19mm</t>
  </si>
  <si>
    <t>kazarov_pp-19-01_vityaz_std_muzzle_brake_compensator</t>
  </si>
  <si>
    <t>Kazarov PP-19-01 Vityaz Std.</t>
  </si>
  <si>
    <t>kazarov_pp-19-01_vityaz_9x19_suppressor</t>
  </si>
  <si>
    <t>Kazarov PP-19-01 Vityaz 9x19</t>
  </si>
  <si>
    <t>axom_a2_9x19_flashhider</t>
  </si>
  <si>
    <t>AXOM A2 9x19</t>
  </si>
  <si>
    <t>egs_orthocone_45_9x19_piston</t>
  </si>
  <si>
    <t>EGS Orthocone 45 9x19 Piston</t>
  </si>
  <si>
    <t>egs_orthocone_suppressor</t>
  </si>
  <si>
    <t>EGS Orthocone Suppressor</t>
  </si>
  <si>
    <t>suppressors_inc_9x19_thread_protector</t>
  </si>
  <si>
    <t>Suppressors Inc. 9x19</t>
  </si>
  <si>
    <t>sic_sturmer_p_series_9x19_thread_protector</t>
  </si>
  <si>
    <t>Sic Stürmer P-Series 9x19</t>
  </si>
  <si>
    <t>vai_9x19_thread_protector</t>
  </si>
  <si>
    <t>VAI 9x19</t>
  </si>
  <si>
    <t>everetts_sic_226_229_duty_compensator</t>
  </si>
  <si>
    <t>Everetts Machining SIC 226/229 Duty</t>
  </si>
  <si>
    <t>ardian_kosch_catalyst_micro_compensator</t>
  </si>
  <si>
    <t>Ardian KOSCH Catalyst Micro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</si>
</sst>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"/>
  <sheetViews>
    <sheetView tabSelected="1" topLeftCell="A19" zoomScale="115" zoomScaleNormal="115" workbookViewId="0">
      <selection sqref="A1:O36"/>
    </sheetView>
  </sheetViews>
  <sheetFormatPr defaultColWidth="8.7109375" defaultRowHeight="15" x14ac:dyDescent="0.25"/>
  <cols>
    <col min="1" max="1" width="37" customWidth="1"/>
    <col min="2" max="2" width="40.140625" customWidth="1"/>
  </cols>
  <sheetData>
    <row r="1" spans="1:15" x14ac:dyDescent="0.25">
      <c r="C1" t="s">
        <v>0</v>
      </c>
    </row>
    <row r="2" spans="1:15" x14ac:dyDescent="0.25">
      <c r="A2" t="s">
        <v>1</v>
      </c>
      <c r="B2" t="s">
        <v>2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32</v>
      </c>
      <c r="I2" t="s">
        <v>9</v>
      </c>
      <c r="J2" t="s">
        <v>10</v>
      </c>
      <c r="K2" t="s">
        <v>11</v>
      </c>
      <c r="L2" t="s">
        <v>12</v>
      </c>
      <c r="M2" t="s">
        <v>33</v>
      </c>
      <c r="N2" t="s">
        <v>13</v>
      </c>
      <c r="O2" t="s">
        <v>3</v>
      </c>
    </row>
    <row r="3" spans="1:15" x14ac:dyDescent="0.25">
      <c r="A3" t="s">
        <v>53</v>
      </c>
      <c r="B3" t="s">
        <v>54</v>
      </c>
      <c r="C3">
        <v>3</v>
      </c>
      <c r="D3">
        <v>0.01</v>
      </c>
      <c r="E3">
        <v>0</v>
      </c>
      <c r="F3">
        <v>0</v>
      </c>
      <c r="H3">
        <v>0</v>
      </c>
      <c r="I3">
        <v>0</v>
      </c>
      <c r="J3">
        <v>0</v>
      </c>
      <c r="N3">
        <v>100</v>
      </c>
      <c r="O3">
        <f>C3-D3*20-E3*0.8-F3*0.6-H3*10+I3*15+J3/200-M3*5</f>
        <v>2.8</v>
      </c>
    </row>
    <row r="4" spans="1:15" x14ac:dyDescent="0.25">
      <c r="A4" t="s">
        <v>24</v>
      </c>
      <c r="B4" t="s">
        <v>25</v>
      </c>
      <c r="C4">
        <v>3</v>
      </c>
      <c r="D4">
        <v>0.01</v>
      </c>
      <c r="E4">
        <v>0</v>
      </c>
      <c r="F4">
        <v>0</v>
      </c>
      <c r="H4">
        <v>0</v>
      </c>
      <c r="I4">
        <v>0</v>
      </c>
      <c r="J4">
        <v>0</v>
      </c>
      <c r="N4">
        <v>100</v>
      </c>
      <c r="O4">
        <f t="shared" ref="O4:O33" si="0">C4-D4*20-E4*0.8-F4*0.6-H4*10+I4*15+J4/200-M4*5</f>
        <v>2.8</v>
      </c>
    </row>
    <row r="5" spans="1:15" x14ac:dyDescent="0.25">
      <c r="A5" t="s">
        <v>68</v>
      </c>
      <c r="B5" t="s">
        <v>69</v>
      </c>
      <c r="C5">
        <v>3</v>
      </c>
      <c r="D5">
        <v>0.01</v>
      </c>
      <c r="E5">
        <v>0</v>
      </c>
      <c r="F5">
        <v>0</v>
      </c>
      <c r="H5">
        <v>0</v>
      </c>
      <c r="I5">
        <v>0</v>
      </c>
      <c r="J5">
        <v>0</v>
      </c>
      <c r="N5">
        <v>100</v>
      </c>
      <c r="O5">
        <f t="shared" si="0"/>
        <v>2.8</v>
      </c>
    </row>
    <row r="6" spans="1:15" x14ac:dyDescent="0.25">
      <c r="A6" t="s">
        <v>70</v>
      </c>
      <c r="B6" t="s">
        <v>71</v>
      </c>
      <c r="C6">
        <v>3</v>
      </c>
      <c r="D6">
        <v>0.01</v>
      </c>
      <c r="E6">
        <v>0</v>
      </c>
      <c r="F6">
        <v>0</v>
      </c>
      <c r="H6">
        <v>0</v>
      </c>
      <c r="I6">
        <v>0</v>
      </c>
      <c r="J6">
        <v>0</v>
      </c>
      <c r="N6">
        <v>100</v>
      </c>
      <c r="O6">
        <f t="shared" si="0"/>
        <v>2.8</v>
      </c>
    </row>
    <row r="7" spans="1:15" x14ac:dyDescent="0.25">
      <c r="A7" t="s">
        <v>72</v>
      </c>
      <c r="B7" t="s">
        <v>73</v>
      </c>
      <c r="C7">
        <v>3</v>
      </c>
      <c r="D7">
        <v>0.01</v>
      </c>
      <c r="E7">
        <v>0</v>
      </c>
      <c r="F7">
        <v>0</v>
      </c>
      <c r="H7">
        <v>0</v>
      </c>
      <c r="I7">
        <v>0</v>
      </c>
      <c r="J7">
        <v>0</v>
      </c>
      <c r="N7">
        <v>100</v>
      </c>
      <c r="O7">
        <f t="shared" si="0"/>
        <v>2.8</v>
      </c>
    </row>
    <row r="8" spans="1:15" x14ac:dyDescent="0.25">
      <c r="A8" t="s">
        <v>26</v>
      </c>
      <c r="B8" t="s">
        <v>52</v>
      </c>
      <c r="C8">
        <v>-1</v>
      </c>
      <c r="D8">
        <v>0.03</v>
      </c>
      <c r="E8">
        <v>1</v>
      </c>
      <c r="F8">
        <v>1</v>
      </c>
      <c r="H8">
        <v>0.06</v>
      </c>
      <c r="I8">
        <v>0</v>
      </c>
      <c r="J8">
        <v>30</v>
      </c>
      <c r="N8">
        <v>500</v>
      </c>
      <c r="O8">
        <f t="shared" si="0"/>
        <v>-3.4500000000000006</v>
      </c>
    </row>
    <row r="9" spans="1:15" x14ac:dyDescent="0.25">
      <c r="A9" t="s">
        <v>14</v>
      </c>
      <c r="B9" t="s">
        <v>15</v>
      </c>
      <c r="C9">
        <v>-2</v>
      </c>
      <c r="D9">
        <v>7.0000000000000007E-2</v>
      </c>
      <c r="E9">
        <v>-10</v>
      </c>
      <c r="F9">
        <v>-2</v>
      </c>
      <c r="H9">
        <v>0</v>
      </c>
      <c r="I9">
        <v>0</v>
      </c>
      <c r="J9">
        <v>10</v>
      </c>
      <c r="N9">
        <v>500</v>
      </c>
      <c r="O9">
        <f t="shared" si="0"/>
        <v>5.85</v>
      </c>
    </row>
    <row r="10" spans="1:15" x14ac:dyDescent="0.25">
      <c r="A10" t="s">
        <v>35</v>
      </c>
      <c r="B10" t="s">
        <v>36</v>
      </c>
      <c r="C10">
        <v>-1</v>
      </c>
      <c r="D10">
        <v>0.06</v>
      </c>
      <c r="E10">
        <v>-8</v>
      </c>
      <c r="F10">
        <v>-6</v>
      </c>
      <c r="H10">
        <v>0</v>
      </c>
      <c r="I10">
        <v>0</v>
      </c>
      <c r="J10">
        <v>20</v>
      </c>
      <c r="M10">
        <v>7.0000000000000007E-2</v>
      </c>
      <c r="N10">
        <v>600</v>
      </c>
      <c r="O10">
        <f t="shared" si="0"/>
        <v>7.55</v>
      </c>
    </row>
    <row r="11" spans="1:15" x14ac:dyDescent="0.25">
      <c r="A11" t="s">
        <v>55</v>
      </c>
      <c r="B11" t="s">
        <v>56</v>
      </c>
      <c r="C11">
        <v>-2</v>
      </c>
      <c r="D11">
        <v>0.05</v>
      </c>
      <c r="E11">
        <v>-7</v>
      </c>
      <c r="F11">
        <v>-9</v>
      </c>
      <c r="H11">
        <v>0</v>
      </c>
      <c r="I11">
        <v>0</v>
      </c>
      <c r="J11">
        <v>20</v>
      </c>
      <c r="M11">
        <v>0.04</v>
      </c>
      <c r="N11">
        <v>1800</v>
      </c>
      <c r="O11">
        <f t="shared" si="0"/>
        <v>7.8999999999999995</v>
      </c>
    </row>
    <row r="12" spans="1:15" x14ac:dyDescent="0.25">
      <c r="A12" t="s">
        <v>58</v>
      </c>
      <c r="B12" t="s">
        <v>59</v>
      </c>
      <c r="C12">
        <v>-1</v>
      </c>
      <c r="D12">
        <v>0.04</v>
      </c>
      <c r="E12">
        <v>-6</v>
      </c>
      <c r="F12">
        <v>-7</v>
      </c>
      <c r="H12">
        <v>0</v>
      </c>
      <c r="I12">
        <v>0</v>
      </c>
      <c r="J12">
        <v>0</v>
      </c>
      <c r="M12">
        <v>0.03</v>
      </c>
      <c r="N12">
        <v>100</v>
      </c>
      <c r="O12">
        <f t="shared" si="0"/>
        <v>7.0500000000000007</v>
      </c>
    </row>
    <row r="13" spans="1:15" x14ac:dyDescent="0.25">
      <c r="A13" t="s">
        <v>62</v>
      </c>
      <c r="B13" t="s">
        <v>63</v>
      </c>
      <c r="C13">
        <v>1</v>
      </c>
      <c r="D13">
        <v>0.05</v>
      </c>
      <c r="E13">
        <v>-5</v>
      </c>
      <c r="F13">
        <v>-6</v>
      </c>
      <c r="H13">
        <v>0</v>
      </c>
      <c r="I13">
        <v>0</v>
      </c>
      <c r="J13">
        <v>0</v>
      </c>
      <c r="M13">
        <v>0</v>
      </c>
      <c r="N13">
        <v>150</v>
      </c>
      <c r="O13">
        <f t="shared" si="0"/>
        <v>7.6</v>
      </c>
    </row>
    <row r="14" spans="1:15" x14ac:dyDescent="0.25">
      <c r="A14" t="s">
        <v>76</v>
      </c>
      <c r="B14" t="s">
        <v>77</v>
      </c>
      <c r="C14">
        <v>0</v>
      </c>
      <c r="D14">
        <v>0.04</v>
      </c>
      <c r="E14">
        <v>-7</v>
      </c>
      <c r="F14">
        <v>-7</v>
      </c>
      <c r="H14">
        <v>0</v>
      </c>
      <c r="I14">
        <v>0</v>
      </c>
      <c r="J14">
        <v>20</v>
      </c>
      <c r="M14">
        <v>0.04</v>
      </c>
      <c r="N14">
        <v>500</v>
      </c>
      <c r="O14">
        <f t="shared" si="0"/>
        <v>8.9</v>
      </c>
    </row>
    <row r="15" spans="1:15" x14ac:dyDescent="0.25">
      <c r="A15" t="s">
        <v>74</v>
      </c>
      <c r="B15" t="s">
        <v>75</v>
      </c>
      <c r="C15">
        <v>0</v>
      </c>
      <c r="D15">
        <v>0.12</v>
      </c>
      <c r="E15">
        <v>-7</v>
      </c>
      <c r="F15">
        <v>-9</v>
      </c>
      <c r="M15">
        <v>0.05</v>
      </c>
      <c r="N15">
        <v>1200</v>
      </c>
      <c r="O15">
        <f t="shared" si="0"/>
        <v>8.35</v>
      </c>
    </row>
    <row r="16" spans="1:15" x14ac:dyDescent="0.25">
      <c r="A16" t="s">
        <v>27</v>
      </c>
      <c r="B16" t="s">
        <v>28</v>
      </c>
      <c r="C16">
        <v>-3</v>
      </c>
      <c r="D16">
        <v>0.11</v>
      </c>
      <c r="E16">
        <v>-5</v>
      </c>
      <c r="F16">
        <v>-7</v>
      </c>
      <c r="H16">
        <v>0</v>
      </c>
      <c r="I16">
        <v>0</v>
      </c>
      <c r="J16">
        <v>-100</v>
      </c>
      <c r="M16">
        <v>0.04</v>
      </c>
      <c r="N16">
        <v>1000</v>
      </c>
      <c r="O16">
        <f t="shared" si="0"/>
        <v>2.2999999999999998</v>
      </c>
    </row>
    <row r="17" spans="1:15" x14ac:dyDescent="0.25">
      <c r="A17" t="s">
        <v>22</v>
      </c>
      <c r="B17" t="s">
        <v>23</v>
      </c>
      <c r="C17">
        <v>-2</v>
      </c>
      <c r="D17">
        <v>0.18</v>
      </c>
      <c r="E17">
        <v>-8</v>
      </c>
      <c r="F17">
        <v>-8</v>
      </c>
      <c r="H17">
        <v>-0.02</v>
      </c>
      <c r="I17">
        <v>0.06</v>
      </c>
      <c r="J17">
        <v>25</v>
      </c>
      <c r="M17">
        <v>-0.05</v>
      </c>
      <c r="N17">
        <v>900</v>
      </c>
      <c r="O17">
        <f>C17-D17*20-E17*0.8-F17*0.6-H17*10+I17*15+J17/200-M17*5</f>
        <v>7.0750000000000011</v>
      </c>
    </row>
    <row r="18" spans="1:15" x14ac:dyDescent="0.25">
      <c r="A18" t="s">
        <v>21</v>
      </c>
      <c r="B18" t="s">
        <v>57</v>
      </c>
      <c r="C18">
        <v>-4</v>
      </c>
      <c r="D18">
        <v>0.23</v>
      </c>
      <c r="E18">
        <v>-10</v>
      </c>
      <c r="F18">
        <v>-9</v>
      </c>
      <c r="H18">
        <v>-0.04</v>
      </c>
      <c r="I18">
        <v>0.12</v>
      </c>
      <c r="J18">
        <v>50</v>
      </c>
      <c r="M18">
        <v>-0.15</v>
      </c>
      <c r="N18">
        <v>1500</v>
      </c>
      <c r="O18">
        <f>C18-D18*20-E18*0.8-F18*0.6-H18*10+I18*15+J18/200-M18*5</f>
        <v>7.9999999999999982</v>
      </c>
    </row>
    <row r="19" spans="1:15" x14ac:dyDescent="0.25">
      <c r="A19" t="s">
        <v>18</v>
      </c>
      <c r="B19" t="s">
        <v>19</v>
      </c>
      <c r="C19">
        <v>-5</v>
      </c>
      <c r="D19">
        <v>0.22</v>
      </c>
      <c r="E19">
        <v>-7</v>
      </c>
      <c r="F19">
        <v>-9</v>
      </c>
      <c r="H19">
        <v>-0.08</v>
      </c>
      <c r="I19">
        <v>0.14000000000000001</v>
      </c>
      <c r="J19">
        <v>75</v>
      </c>
      <c r="M19">
        <v>-0.13</v>
      </c>
      <c r="N19">
        <v>1000</v>
      </c>
      <c r="O19">
        <f t="shared" si="0"/>
        <v>5.5250000000000004</v>
      </c>
    </row>
    <row r="20" spans="1:15" x14ac:dyDescent="0.25">
      <c r="A20" t="s">
        <v>20</v>
      </c>
      <c r="B20" t="s">
        <v>37</v>
      </c>
      <c r="C20">
        <v>-6</v>
      </c>
      <c r="D20">
        <v>0.22</v>
      </c>
      <c r="E20">
        <v>-7</v>
      </c>
      <c r="F20">
        <v>-9</v>
      </c>
      <c r="H20">
        <v>-0.08</v>
      </c>
      <c r="I20">
        <v>0.14000000000000001</v>
      </c>
      <c r="J20">
        <v>75</v>
      </c>
      <c r="M20">
        <v>-0.13</v>
      </c>
      <c r="N20">
        <v>1000</v>
      </c>
      <c r="O20">
        <f t="shared" si="0"/>
        <v>4.5250000000000004</v>
      </c>
    </row>
    <row r="21" spans="1:15" x14ac:dyDescent="0.25">
      <c r="A21" t="s">
        <v>60</v>
      </c>
      <c r="B21" t="s">
        <v>61</v>
      </c>
      <c r="C21">
        <v>-5</v>
      </c>
      <c r="D21">
        <v>0.23</v>
      </c>
      <c r="E21">
        <v>-10</v>
      </c>
      <c r="F21">
        <v>-10</v>
      </c>
      <c r="H21">
        <v>-0.08</v>
      </c>
      <c r="I21">
        <v>0.13</v>
      </c>
      <c r="J21">
        <v>25</v>
      </c>
      <c r="M21">
        <v>-0.2</v>
      </c>
      <c r="N21">
        <v>1200</v>
      </c>
      <c r="O21">
        <f t="shared" si="0"/>
        <v>8.2749999999999986</v>
      </c>
    </row>
    <row r="22" spans="1:15" x14ac:dyDescent="0.25">
      <c r="A22" t="s">
        <v>30</v>
      </c>
      <c r="B22" t="s">
        <v>31</v>
      </c>
      <c r="C22">
        <v>-5</v>
      </c>
      <c r="D22">
        <v>0.24</v>
      </c>
      <c r="E22">
        <v>-9</v>
      </c>
      <c r="F22">
        <v>-11</v>
      </c>
      <c r="H22">
        <v>-0.05</v>
      </c>
      <c r="I22">
        <v>0.14000000000000001</v>
      </c>
      <c r="J22">
        <v>100</v>
      </c>
      <c r="M22">
        <v>-0.18</v>
      </c>
      <c r="N22">
        <v>1000</v>
      </c>
      <c r="O22">
        <f t="shared" si="0"/>
        <v>8</v>
      </c>
    </row>
    <row r="23" spans="1:15" x14ac:dyDescent="0.25">
      <c r="A23" t="s">
        <v>38</v>
      </c>
      <c r="B23" t="s">
        <v>39</v>
      </c>
      <c r="C23">
        <v>-6</v>
      </c>
      <c r="D23">
        <v>0.19</v>
      </c>
      <c r="E23">
        <v>-8</v>
      </c>
      <c r="F23">
        <v>-12</v>
      </c>
      <c r="H23">
        <v>-0.06</v>
      </c>
      <c r="I23">
        <v>0.15</v>
      </c>
      <c r="J23">
        <v>75</v>
      </c>
      <c r="M23">
        <v>-0.1</v>
      </c>
      <c r="N23">
        <v>1500</v>
      </c>
      <c r="O23">
        <f t="shared" si="0"/>
        <v>7.5249999999999986</v>
      </c>
    </row>
    <row r="24" spans="1:15" x14ac:dyDescent="0.25">
      <c r="A24" t="s">
        <v>40</v>
      </c>
      <c r="B24" t="s">
        <v>41</v>
      </c>
      <c r="C24">
        <v>-6</v>
      </c>
      <c r="D24">
        <v>0.19</v>
      </c>
      <c r="E24">
        <v>-8</v>
      </c>
      <c r="F24">
        <v>-12</v>
      </c>
      <c r="H24">
        <v>-0.06</v>
      </c>
      <c r="I24">
        <v>0.15</v>
      </c>
      <c r="J24">
        <v>75</v>
      </c>
      <c r="M24">
        <v>-0.1</v>
      </c>
      <c r="N24">
        <v>1500</v>
      </c>
      <c r="O24">
        <f t="shared" si="0"/>
        <v>7.5249999999999986</v>
      </c>
    </row>
    <row r="25" spans="1:15" x14ac:dyDescent="0.25">
      <c r="A25" t="s">
        <v>16</v>
      </c>
      <c r="B25" t="s">
        <v>17</v>
      </c>
      <c r="C25">
        <v>-8</v>
      </c>
      <c r="D25">
        <v>0.25</v>
      </c>
      <c r="E25">
        <v>-6</v>
      </c>
      <c r="F25">
        <v>-14</v>
      </c>
      <c r="H25">
        <v>-0.08</v>
      </c>
      <c r="I25">
        <v>0.14000000000000001</v>
      </c>
      <c r="J25">
        <v>200</v>
      </c>
      <c r="N25">
        <v>2000</v>
      </c>
      <c r="O25">
        <f t="shared" si="0"/>
        <v>4.1000000000000014</v>
      </c>
    </row>
    <row r="26" spans="1:15" x14ac:dyDescent="0.25">
      <c r="A26" t="s">
        <v>42</v>
      </c>
      <c r="B26" t="s">
        <v>43</v>
      </c>
      <c r="C26">
        <v>0</v>
      </c>
      <c r="D26">
        <v>0.03</v>
      </c>
      <c r="E26">
        <v>0</v>
      </c>
      <c r="F26">
        <v>0</v>
      </c>
      <c r="H26">
        <v>0</v>
      </c>
      <c r="I26">
        <v>0</v>
      </c>
      <c r="J26">
        <v>0</v>
      </c>
      <c r="N26">
        <v>300</v>
      </c>
      <c r="O26">
        <f t="shared" si="0"/>
        <v>-0.6</v>
      </c>
    </row>
    <row r="27" spans="1:15" x14ac:dyDescent="0.25">
      <c r="A27" t="s">
        <v>44</v>
      </c>
      <c r="B27" t="s">
        <v>45</v>
      </c>
      <c r="C27">
        <v>0</v>
      </c>
      <c r="D27">
        <v>0.03</v>
      </c>
      <c r="E27">
        <v>0</v>
      </c>
      <c r="F27">
        <v>0</v>
      </c>
      <c r="H27">
        <v>0</v>
      </c>
      <c r="I27">
        <v>0</v>
      </c>
      <c r="J27">
        <v>0</v>
      </c>
      <c r="N27">
        <v>300</v>
      </c>
      <c r="O27">
        <f t="shared" si="0"/>
        <v>-0.6</v>
      </c>
    </row>
    <row r="29" spans="1:15" x14ac:dyDescent="0.25">
      <c r="A29" t="s">
        <v>46</v>
      </c>
      <c r="B29" t="s">
        <v>47</v>
      </c>
      <c r="C29">
        <v>-4</v>
      </c>
      <c r="D29">
        <v>0.09</v>
      </c>
      <c r="E29">
        <v>-9</v>
      </c>
      <c r="F29">
        <v>-8</v>
      </c>
      <c r="H29">
        <v>-0.03</v>
      </c>
      <c r="I29">
        <v>0.09</v>
      </c>
      <c r="J29">
        <v>35</v>
      </c>
      <c r="M29">
        <v>-0.08</v>
      </c>
      <c r="N29">
        <v>1500</v>
      </c>
      <c r="O29">
        <f t="shared" si="0"/>
        <v>8.4250000000000007</v>
      </c>
    </row>
    <row r="30" spans="1:15" x14ac:dyDescent="0.25">
      <c r="A30" t="s">
        <v>48</v>
      </c>
      <c r="B30" t="s">
        <v>49</v>
      </c>
      <c r="C30">
        <v>-3</v>
      </c>
      <c r="D30">
        <v>7.0000000000000007E-2</v>
      </c>
      <c r="E30">
        <v>-3</v>
      </c>
      <c r="F30">
        <v>-2</v>
      </c>
      <c r="H30">
        <v>-0.02</v>
      </c>
      <c r="I30">
        <v>0.05</v>
      </c>
      <c r="J30">
        <v>25</v>
      </c>
      <c r="M30">
        <v>-0.04</v>
      </c>
      <c r="N30">
        <v>1000</v>
      </c>
      <c r="O30">
        <f t="shared" si="0"/>
        <v>0.47499999999999992</v>
      </c>
    </row>
    <row r="31" spans="1:15" x14ac:dyDescent="0.25">
      <c r="A31" t="s">
        <v>50</v>
      </c>
      <c r="B31" t="s">
        <v>51</v>
      </c>
      <c r="C31">
        <v>0</v>
      </c>
      <c r="D31">
        <v>0.02</v>
      </c>
      <c r="N31">
        <v>0</v>
      </c>
      <c r="O31">
        <f t="shared" si="0"/>
        <v>-0.4</v>
      </c>
    </row>
    <row r="33" spans="1:15" x14ac:dyDescent="0.25">
      <c r="A33" t="s">
        <v>29</v>
      </c>
      <c r="B33" t="s">
        <v>34</v>
      </c>
      <c r="C33">
        <v>-5</v>
      </c>
      <c r="D33">
        <v>0.26</v>
      </c>
      <c r="E33">
        <v>-12</v>
      </c>
      <c r="F33">
        <v>-16</v>
      </c>
      <c r="H33">
        <v>-0.1</v>
      </c>
      <c r="I33">
        <v>0.15</v>
      </c>
      <c r="J33">
        <v>-180</v>
      </c>
      <c r="M33">
        <v>-0.25</v>
      </c>
      <c r="N33">
        <v>3000</v>
      </c>
      <c r="O33">
        <f t="shared" si="0"/>
        <v>12.600000000000001</v>
      </c>
    </row>
    <row r="35" spans="1:15" x14ac:dyDescent="0.25">
      <c r="A35" t="s">
        <v>64</v>
      </c>
      <c r="B35" t="s">
        <v>65</v>
      </c>
      <c r="C35">
        <v>0</v>
      </c>
      <c r="D35">
        <v>0.03</v>
      </c>
      <c r="E35">
        <v>0</v>
      </c>
      <c r="F35">
        <v>0</v>
      </c>
      <c r="N35">
        <v>400</v>
      </c>
      <c r="O35">
        <f>C35-D35*20-E35*0.8-F35*0.6-H35*10+I35*15+J35/200-M35*5</f>
        <v>-0.6</v>
      </c>
    </row>
    <row r="36" spans="1:15" x14ac:dyDescent="0.25">
      <c r="A36" t="s">
        <v>66</v>
      </c>
      <c r="B36" t="s">
        <v>67</v>
      </c>
      <c r="C36">
        <v>-5</v>
      </c>
      <c r="D36">
        <v>0.14000000000000001</v>
      </c>
      <c r="E36">
        <v>-10</v>
      </c>
      <c r="F36">
        <v>-10</v>
      </c>
      <c r="H36">
        <v>-7.0000000000000007E-2</v>
      </c>
      <c r="I36">
        <v>0.1</v>
      </c>
      <c r="J36">
        <v>75</v>
      </c>
      <c r="M36">
        <v>-0.15</v>
      </c>
      <c r="N36">
        <v>2600</v>
      </c>
      <c r="O36">
        <f>C36-D36*20-E36*0.8-F36*0.6-H36*10+I36*15+J36/200-M36*5</f>
        <v>9.5249999999999986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m4-barrels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furry slayer</cp:lastModifiedBy>
  <dcterms:created xsi:type="dcterms:W3CDTF">2024-08-19T23:38:21Z</dcterms:created>
  <dcterms:modified xsi:type="dcterms:W3CDTF">2026-10-21T09:21:05Z</dcterms:modified>
</cp:coreProperties>
</file>