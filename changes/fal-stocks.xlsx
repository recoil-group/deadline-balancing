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85B681E1-7D42-473B-BD6C-8C519D2AB0F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I25" i="1"/>
  <c r="J25" i="1"/>
  <c r="K25" i="1"/>
  <c r="L25" i="1"/>
  <c r="M25" i="1"/>
  <c r="C25" i="1"/>
  <c r="N25" i="1" s="1"/>
  <c r="D24" i="1"/>
  <c r="N24" i="1" s="1"/>
  <c r="E24" i="1"/>
  <c r="F24" i="1"/>
  <c r="G24" i="1"/>
  <c r="H24" i="1"/>
  <c r="I24" i="1"/>
  <c r="J24" i="1"/>
  <c r="K24" i="1"/>
  <c r="L24" i="1"/>
  <c r="M24" i="1"/>
  <c r="C24" i="1"/>
  <c r="D23" i="1"/>
  <c r="E23" i="1"/>
  <c r="F23" i="1"/>
  <c r="G23" i="1"/>
  <c r="H23" i="1"/>
  <c r="I23" i="1"/>
  <c r="J23" i="1"/>
  <c r="K23" i="1"/>
  <c r="L23" i="1"/>
  <c r="M23" i="1"/>
  <c r="C23" i="1"/>
  <c r="D22" i="1"/>
  <c r="E22" i="1"/>
  <c r="F22" i="1"/>
  <c r="G22" i="1"/>
  <c r="H22" i="1"/>
  <c r="I22" i="1"/>
  <c r="J22" i="1"/>
  <c r="K22" i="1"/>
  <c r="L22" i="1"/>
  <c r="M22" i="1"/>
  <c r="C22" i="1"/>
  <c r="D21" i="1"/>
  <c r="E21" i="1"/>
  <c r="F21" i="1"/>
  <c r="G21" i="1"/>
  <c r="H21" i="1"/>
  <c r="I21" i="1"/>
  <c r="J21" i="1"/>
  <c r="K21" i="1"/>
  <c r="L21" i="1"/>
  <c r="M21" i="1"/>
  <c r="C21" i="1"/>
  <c r="D20" i="1"/>
  <c r="E20" i="1"/>
  <c r="F20" i="1"/>
  <c r="G20" i="1"/>
  <c r="H20" i="1"/>
  <c r="I20" i="1"/>
  <c r="J20" i="1"/>
  <c r="K20" i="1"/>
  <c r="L20" i="1"/>
  <c r="M20" i="1"/>
  <c r="C20" i="1"/>
  <c r="D19" i="1"/>
  <c r="E19" i="1"/>
  <c r="F19" i="1"/>
  <c r="G19" i="1"/>
  <c r="H19" i="1"/>
  <c r="I19" i="1"/>
  <c r="J19" i="1"/>
  <c r="K19" i="1"/>
  <c r="L19" i="1"/>
  <c r="M19" i="1"/>
  <c r="C19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2" i="1"/>
  <c r="N23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21" i="1" l="1"/>
  <c r="N20" i="1"/>
  <c r="N41" i="1"/>
  <c r="N3" i="1"/>
</calcChain>
</file>

<file path=xl/sharedStrings.xml><?xml version="1.0" encoding="utf-8"?>
<sst xmlns="http://schemas.openxmlformats.org/spreadsheetml/2006/main" count="51" uniqueCount="50">
  <si>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</si>
  <si>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</si>
  <si>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</si>
  <si>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</si>
  <si>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</si>
  <si>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</si>
  <si>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</si>
  <si>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</si>
  <si>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</si>
  <si>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</si>
  <si>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</si>
  <si>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</si>
  <si>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</si>
  <si>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barrel_deviation</t>
  </si>
  <si>
    <t>buck_barrel_deviation</t>
  </si>
  <si>
    <t>MOE Carbine</t>
  </si>
  <si>
    <t>buffer</t>
  </si>
  <si>
    <t>rsa_sa58_metric_para_folding_stock</t>
  </si>
  <si>
    <t>DSA SA-58 Metric Para Folding</t>
  </si>
  <si>
    <t>rsa_metric_para_buffer_tube_adapter</t>
  </si>
  <si>
    <t>DSA Para Metric Buffer Tube</t>
  </si>
  <si>
    <t>rsa_sa58_folding_spr_para_stock_body</t>
  </si>
  <si>
    <t>DSA SA-58 Folding SPR PARA Stock Body</t>
  </si>
  <si>
    <t>rsa_sa58_folding_spr_para_stock_extendable_part</t>
  </si>
  <si>
    <t>DSA SA-58 Folding SPR PARA Stock Extendable Part</t>
  </si>
  <si>
    <t>rsa_sa58_folding_spr_para_stock_buttpad_mount</t>
  </si>
  <si>
    <t>DSA SA-58 Folding SPR PARA Stock Buttpad Mount</t>
  </si>
  <si>
    <t>rsa_sa58_folding_spr_para_stock_cheek_riser</t>
  </si>
  <si>
    <t>DSA SA-58 Folding SPR PARA Stock Cheek Riser</t>
  </si>
  <si>
    <t>rsa_sa58_folding_spr_para_stock_buttpad</t>
  </si>
  <si>
    <t>DSA SA-58 Folding SPR PARA Stock Buttpad</t>
  </si>
  <si>
    <t>rsa_sa58_para_fold_assembly</t>
  </si>
  <si>
    <t>DSA SA-58 Para Fold Assembly</t>
  </si>
  <si>
    <t>rsa_sa58_polymer_humpback_stock</t>
  </si>
  <si>
    <t>DSA Humpback Polymer Fixed</t>
  </si>
  <si>
    <t>rsa_sa58_x_series_stock</t>
  </si>
  <si>
    <t>RSA SA-58 X-Series Stock</t>
  </si>
  <si>
    <t>rsa_sa58_wood_humpback_stock</t>
  </si>
  <si>
    <t>rsa_sa58_pistol_qd_sling_endplate</t>
  </si>
  <si>
    <t>DSA SA-58 Pistol QD Sling</t>
  </si>
  <si>
    <t>polymer</t>
  </si>
  <si>
    <t>wood</t>
  </si>
  <si>
    <t>rsa_sa58_buttpad</t>
  </si>
  <si>
    <t>RSA SA-58 X-Series</t>
  </si>
  <si>
    <t>sa58_wood_stock_buttpad</t>
  </si>
  <si>
    <t>SA58 Wood</t>
  </si>
  <si>
    <t>x series</t>
  </si>
  <si>
    <t>pistol</t>
  </si>
  <si>
    <t>para</t>
  </si>
  <si>
    <t>spr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</si>
</sst>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zoomScale="130" zoomScaleNormal="130" workbookViewId="0">
      <selection activeCell="K11" sqref="K11"/>
    </sheetView>
  </sheetViews>
  <sheetFormatPr defaultColWidth="8.7109375" defaultRowHeight="15" x14ac:dyDescent="0.25"/>
  <cols>
    <col min="1" max="1" width="32.85546875" customWidth="1"/>
    <col min="2" max="2" width="42.140625" customWidth="1"/>
    <col min="3" max="22" width="6.7109375" customWidth="1"/>
  </cols>
  <sheetData>
    <row r="1" spans="1:14" x14ac:dyDescent="0.25">
      <c r="C1" t="s">
        <v>0</v>
      </c>
    </row>
    <row r="2" spans="1:14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13</v>
      </c>
      <c r="I2" t="s">
        <v>9</v>
      </c>
      <c r="J2" t="s">
        <v>10</v>
      </c>
      <c r="K2" t="s">
        <v>14</v>
      </c>
      <c r="L2" t="s">
        <v>11</v>
      </c>
      <c r="M2" t="s">
        <v>12</v>
      </c>
      <c r="N2" t="s">
        <v>3</v>
      </c>
    </row>
    <row r="3" spans="1:14" x14ac:dyDescent="0.25">
      <c r="A3" t="s">
        <v>31</v>
      </c>
      <c r="B3" t="s">
        <v>32</v>
      </c>
      <c r="C3">
        <v>0</v>
      </c>
      <c r="D3">
        <v>0.06</v>
      </c>
      <c r="E3">
        <v>0</v>
      </c>
      <c r="F3">
        <v>0</v>
      </c>
      <c r="M3">
        <v>500</v>
      </c>
      <c r="N3">
        <f>C3-D3*20-E3*0.8-F3*0.6-H3*5+I3*10+J3/300</f>
        <v>-1.2</v>
      </c>
    </row>
    <row r="4" spans="1:14" x14ac:dyDescent="0.25">
      <c r="A4" t="s">
        <v>33</v>
      </c>
      <c r="B4" t="s">
        <v>34</v>
      </c>
      <c r="C4">
        <v>10</v>
      </c>
      <c r="D4">
        <v>0.35</v>
      </c>
      <c r="E4">
        <v>-10</v>
      </c>
      <c r="F4">
        <v>-10</v>
      </c>
      <c r="M4">
        <v>0</v>
      </c>
      <c r="N4">
        <f t="shared" ref="N4:N40" si="0">C4-D4*20-E4*0.8-F4*0.6-H4*5+I4*10+J4/300</f>
        <v>17</v>
      </c>
    </row>
    <row r="5" spans="1:14" x14ac:dyDescent="0.25">
      <c r="A5" t="s">
        <v>35</v>
      </c>
      <c r="B5" t="s">
        <v>36</v>
      </c>
      <c r="C5">
        <v>12</v>
      </c>
      <c r="D5">
        <v>0.28999999999999998</v>
      </c>
      <c r="E5">
        <v>-10</v>
      </c>
      <c r="F5">
        <v>-6</v>
      </c>
      <c r="M5">
        <v>500</v>
      </c>
      <c r="N5">
        <f t="shared" si="0"/>
        <v>17.799999999999997</v>
      </c>
    </row>
    <row r="6" spans="1:14" x14ac:dyDescent="0.25">
      <c r="A6" t="s">
        <v>42</v>
      </c>
      <c r="B6" t="s">
        <v>43</v>
      </c>
      <c r="C6">
        <v>1</v>
      </c>
      <c r="D6">
        <v>0.05</v>
      </c>
      <c r="M6">
        <v>0</v>
      </c>
      <c r="N6">
        <f t="shared" si="0"/>
        <v>0</v>
      </c>
    </row>
    <row r="7" spans="1:14" x14ac:dyDescent="0.25">
      <c r="A7" t="s">
        <v>37</v>
      </c>
      <c r="B7" t="s">
        <v>34</v>
      </c>
      <c r="C7">
        <v>9</v>
      </c>
      <c r="D7">
        <v>0.39</v>
      </c>
      <c r="E7">
        <v>-11</v>
      </c>
      <c r="F7">
        <v>-12</v>
      </c>
      <c r="M7">
        <v>1200</v>
      </c>
      <c r="N7">
        <f t="shared" si="0"/>
        <v>17.2</v>
      </c>
    </row>
    <row r="8" spans="1:14" x14ac:dyDescent="0.25">
      <c r="A8" t="s">
        <v>44</v>
      </c>
      <c r="B8" t="s">
        <v>45</v>
      </c>
      <c r="C8">
        <v>1</v>
      </c>
      <c r="D8">
        <v>0.03</v>
      </c>
      <c r="M8">
        <v>0</v>
      </c>
      <c r="N8">
        <f t="shared" si="0"/>
        <v>0.4</v>
      </c>
    </row>
    <row r="9" spans="1:14" x14ac:dyDescent="0.25">
      <c r="A9" t="s">
        <v>38</v>
      </c>
      <c r="B9" t="s">
        <v>39</v>
      </c>
      <c r="C9">
        <v>4</v>
      </c>
      <c r="D9">
        <v>0.05</v>
      </c>
      <c r="E9">
        <v>8</v>
      </c>
      <c r="F9">
        <v>8</v>
      </c>
      <c r="H9">
        <v>0.5</v>
      </c>
      <c r="M9">
        <v>1000</v>
      </c>
      <c r="N9">
        <f t="shared" si="0"/>
        <v>-10.7</v>
      </c>
    </row>
    <row r="10" spans="1:14" x14ac:dyDescent="0.25">
      <c r="A10" t="s">
        <v>17</v>
      </c>
      <c r="B10" t="s">
        <v>18</v>
      </c>
      <c r="C10">
        <v>12</v>
      </c>
      <c r="D10">
        <v>0.25</v>
      </c>
      <c r="E10">
        <v>-7</v>
      </c>
      <c r="F10">
        <v>-11</v>
      </c>
      <c r="M10">
        <v>500</v>
      </c>
      <c r="N10">
        <f t="shared" si="0"/>
        <v>19.200000000000003</v>
      </c>
    </row>
    <row r="11" spans="1:14" x14ac:dyDescent="0.25">
      <c r="A11" t="s">
        <v>19</v>
      </c>
      <c r="B11" t="s">
        <v>20</v>
      </c>
      <c r="C11">
        <v>-3</v>
      </c>
      <c r="D11">
        <v>0.05</v>
      </c>
      <c r="E11">
        <v>2</v>
      </c>
      <c r="F11">
        <v>2</v>
      </c>
      <c r="H11">
        <v>0.05</v>
      </c>
      <c r="M11">
        <v>1000</v>
      </c>
      <c r="N11">
        <f t="shared" si="0"/>
        <v>-7.05</v>
      </c>
    </row>
    <row r="12" spans="1:14" x14ac:dyDescent="0.25">
      <c r="A12" t="s">
        <v>21</v>
      </c>
      <c r="B12" t="s">
        <v>22</v>
      </c>
      <c r="C12">
        <v>13</v>
      </c>
      <c r="D12">
        <v>0.19</v>
      </c>
      <c r="E12">
        <v>-9</v>
      </c>
      <c r="F12">
        <v>-7</v>
      </c>
      <c r="H12">
        <v>-0.05</v>
      </c>
      <c r="M12">
        <v>3000</v>
      </c>
      <c r="N12">
        <f t="shared" si="0"/>
        <v>20.849999999999998</v>
      </c>
    </row>
    <row r="13" spans="1:14" x14ac:dyDescent="0.25">
      <c r="A13" t="s">
        <v>23</v>
      </c>
      <c r="B13" t="s">
        <v>24</v>
      </c>
      <c r="D13">
        <v>0.03</v>
      </c>
      <c r="M13">
        <v>0</v>
      </c>
      <c r="N13">
        <f t="shared" si="0"/>
        <v>-0.6</v>
      </c>
    </row>
    <row r="14" spans="1:14" x14ac:dyDescent="0.25">
      <c r="A14" t="s">
        <v>25</v>
      </c>
      <c r="B14" t="s">
        <v>26</v>
      </c>
      <c r="D14">
        <v>0.03</v>
      </c>
      <c r="M14">
        <v>0</v>
      </c>
      <c r="N14">
        <f t="shared" si="0"/>
        <v>-0.6</v>
      </c>
    </row>
    <row r="15" spans="1:14" x14ac:dyDescent="0.25">
      <c r="A15" t="s">
        <v>27</v>
      </c>
      <c r="B15" t="s">
        <v>28</v>
      </c>
      <c r="C15">
        <v>1</v>
      </c>
      <c r="D15">
        <v>0.04</v>
      </c>
      <c r="M15">
        <v>0</v>
      </c>
      <c r="N15">
        <f t="shared" si="0"/>
        <v>0.19999999999999996</v>
      </c>
    </row>
    <row r="16" spans="1:14" x14ac:dyDescent="0.25">
      <c r="A16" t="s">
        <v>29</v>
      </c>
      <c r="B16" t="s">
        <v>30</v>
      </c>
      <c r="C16">
        <v>1</v>
      </c>
      <c r="D16">
        <v>0.04</v>
      </c>
      <c r="M16">
        <v>0</v>
      </c>
      <c r="N16">
        <f t="shared" si="0"/>
        <v>0.19999999999999996</v>
      </c>
    </row>
    <row r="17" spans="1:14" x14ac:dyDescent="0.25">
      <c r="A17" s="1"/>
      <c r="B17" s="1" t="s">
        <v>15</v>
      </c>
      <c r="C17" s="1">
        <v>17</v>
      </c>
      <c r="D17" s="1">
        <v>0.35</v>
      </c>
      <c r="E17" s="1">
        <v>-11</v>
      </c>
      <c r="F17" s="1">
        <v>-10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1400</v>
      </c>
      <c r="N17">
        <f t="shared" si="0"/>
        <v>24.8</v>
      </c>
    </row>
    <row r="18" spans="1:14" x14ac:dyDescent="0.25">
      <c r="N18">
        <f t="shared" si="0"/>
        <v>0</v>
      </c>
    </row>
    <row r="19" spans="1:14" x14ac:dyDescent="0.25">
      <c r="B19" t="s">
        <v>40</v>
      </c>
      <c r="C19">
        <f>C4</f>
        <v>10</v>
      </c>
      <c r="D19">
        <f t="shared" ref="D19:M19" si="1">D4</f>
        <v>0.35</v>
      </c>
      <c r="E19">
        <f t="shared" si="1"/>
        <v>-10</v>
      </c>
      <c r="F19">
        <f t="shared" si="1"/>
        <v>-10</v>
      </c>
      <c r="G19">
        <f t="shared" si="1"/>
        <v>0</v>
      </c>
      <c r="H19">
        <f t="shared" si="1"/>
        <v>0</v>
      </c>
      <c r="I19">
        <f t="shared" si="1"/>
        <v>0</v>
      </c>
      <c r="J19">
        <f t="shared" si="1"/>
        <v>0</v>
      </c>
      <c r="K19">
        <f t="shared" si="1"/>
        <v>0</v>
      </c>
      <c r="L19">
        <f t="shared" si="1"/>
        <v>0</v>
      </c>
      <c r="M19">
        <f t="shared" si="1"/>
        <v>0</v>
      </c>
      <c r="N19">
        <f t="shared" si="0"/>
        <v>17</v>
      </c>
    </row>
    <row r="20" spans="1:14" x14ac:dyDescent="0.25">
      <c r="B20" t="s">
        <v>41</v>
      </c>
      <c r="C20">
        <f>C8+C7</f>
        <v>10</v>
      </c>
      <c r="D20">
        <f t="shared" ref="D20:M20" si="2">D8+D7</f>
        <v>0.42000000000000004</v>
      </c>
      <c r="E20">
        <f t="shared" si="2"/>
        <v>-11</v>
      </c>
      <c r="F20">
        <f t="shared" si="2"/>
        <v>-12</v>
      </c>
      <c r="G20">
        <f t="shared" si="2"/>
        <v>0</v>
      </c>
      <c r="H20">
        <f t="shared" si="2"/>
        <v>0</v>
      </c>
      <c r="I20">
        <f t="shared" si="2"/>
        <v>0</v>
      </c>
      <c r="J20">
        <f t="shared" si="2"/>
        <v>0</v>
      </c>
      <c r="K20">
        <f t="shared" si="2"/>
        <v>0</v>
      </c>
      <c r="L20">
        <f t="shared" si="2"/>
        <v>0</v>
      </c>
      <c r="M20">
        <f t="shared" si="2"/>
        <v>1200</v>
      </c>
      <c r="N20">
        <f t="shared" si="0"/>
        <v>17.600000000000001</v>
      </c>
    </row>
    <row r="21" spans="1:14" x14ac:dyDescent="0.25">
      <c r="A21" s="1"/>
      <c r="B21" s="1" t="s">
        <v>46</v>
      </c>
      <c r="C21" s="1">
        <f>C5+C6</f>
        <v>13</v>
      </c>
      <c r="D21" s="1">
        <f t="shared" ref="D21:M21" si="3">D5+D6</f>
        <v>0.33999999999999997</v>
      </c>
      <c r="E21" s="1">
        <f t="shared" si="3"/>
        <v>-10</v>
      </c>
      <c r="F21" s="1">
        <f t="shared" si="3"/>
        <v>-6</v>
      </c>
      <c r="G21" s="1">
        <f t="shared" si="3"/>
        <v>0</v>
      </c>
      <c r="H21" s="1">
        <f t="shared" si="3"/>
        <v>0</v>
      </c>
      <c r="I21" s="1">
        <f t="shared" si="3"/>
        <v>0</v>
      </c>
      <c r="J21" s="1">
        <f t="shared" si="3"/>
        <v>0</v>
      </c>
      <c r="K21" s="1">
        <f t="shared" si="3"/>
        <v>0</v>
      </c>
      <c r="L21" s="1">
        <f t="shared" si="3"/>
        <v>0</v>
      </c>
      <c r="M21" s="1">
        <f t="shared" si="3"/>
        <v>500</v>
      </c>
      <c r="N21">
        <f t="shared" si="0"/>
        <v>17.8</v>
      </c>
    </row>
    <row r="22" spans="1:14" x14ac:dyDescent="0.25">
      <c r="A22" s="1"/>
      <c r="B22" s="1" t="s">
        <v>47</v>
      </c>
      <c r="C22" s="1">
        <f>C9</f>
        <v>4</v>
      </c>
      <c r="D22" s="1">
        <f t="shared" ref="D22:M22" si="4">D9</f>
        <v>0.05</v>
      </c>
      <c r="E22" s="1">
        <f t="shared" si="4"/>
        <v>8</v>
      </c>
      <c r="F22" s="1">
        <f t="shared" si="4"/>
        <v>8</v>
      </c>
      <c r="G22" s="1">
        <f t="shared" si="4"/>
        <v>0</v>
      </c>
      <c r="H22" s="1">
        <f t="shared" si="4"/>
        <v>0.5</v>
      </c>
      <c r="I22" s="1">
        <f t="shared" si="4"/>
        <v>0</v>
      </c>
      <c r="J22" s="1">
        <f t="shared" si="4"/>
        <v>0</v>
      </c>
      <c r="K22" s="1">
        <f t="shared" si="4"/>
        <v>0</v>
      </c>
      <c r="L22" s="1">
        <f t="shared" si="4"/>
        <v>0</v>
      </c>
      <c r="M22" s="1">
        <f t="shared" si="4"/>
        <v>1000</v>
      </c>
      <c r="N22">
        <f t="shared" si="0"/>
        <v>-10.7</v>
      </c>
    </row>
    <row r="23" spans="1:14" x14ac:dyDescent="0.25">
      <c r="A23" s="1"/>
      <c r="B23" s="1" t="s">
        <v>48</v>
      </c>
      <c r="C23" s="1">
        <f>C10+C3</f>
        <v>12</v>
      </c>
      <c r="D23" s="1">
        <f t="shared" ref="D23:M23" si="5">D10+D3</f>
        <v>0.31</v>
      </c>
      <c r="E23" s="1">
        <f t="shared" si="5"/>
        <v>-7</v>
      </c>
      <c r="F23" s="1">
        <f t="shared" si="5"/>
        <v>-11</v>
      </c>
      <c r="G23" s="1">
        <f t="shared" si="5"/>
        <v>0</v>
      </c>
      <c r="H23" s="1">
        <f t="shared" si="5"/>
        <v>0</v>
      </c>
      <c r="I23" s="1">
        <f t="shared" si="5"/>
        <v>0</v>
      </c>
      <c r="J23" s="1">
        <f t="shared" si="5"/>
        <v>0</v>
      </c>
      <c r="K23" s="1">
        <f t="shared" si="5"/>
        <v>0</v>
      </c>
      <c r="L23" s="1">
        <f t="shared" si="5"/>
        <v>0</v>
      </c>
      <c r="M23" s="1">
        <f t="shared" si="5"/>
        <v>1000</v>
      </c>
      <c r="N23">
        <f t="shared" si="0"/>
        <v>18</v>
      </c>
    </row>
    <row r="24" spans="1:14" x14ac:dyDescent="0.25">
      <c r="A24" s="1"/>
      <c r="B24" s="1" t="s">
        <v>49</v>
      </c>
      <c r="C24" s="1">
        <f>C3+C12+C13+C14+C15+C16</f>
        <v>15</v>
      </c>
      <c r="D24" s="1">
        <f t="shared" ref="D24:M24" si="6">D3+D12+D13+D14+D15+D16</f>
        <v>0.39</v>
      </c>
      <c r="E24" s="1">
        <f t="shared" si="6"/>
        <v>-9</v>
      </c>
      <c r="F24" s="1">
        <f t="shared" si="6"/>
        <v>-7</v>
      </c>
      <c r="G24" s="1">
        <f t="shared" si="6"/>
        <v>0</v>
      </c>
      <c r="H24" s="1">
        <f t="shared" si="6"/>
        <v>-0.05</v>
      </c>
      <c r="I24" s="1">
        <f t="shared" si="6"/>
        <v>0</v>
      </c>
      <c r="J24" s="1">
        <f t="shared" si="6"/>
        <v>0</v>
      </c>
      <c r="K24" s="1">
        <f t="shared" si="6"/>
        <v>0</v>
      </c>
      <c r="L24" s="1">
        <f t="shared" si="6"/>
        <v>0</v>
      </c>
      <c r="M24" s="1">
        <f t="shared" si="6"/>
        <v>3500</v>
      </c>
      <c r="N24">
        <f t="shared" si="0"/>
        <v>18.849999999999998</v>
      </c>
    </row>
    <row r="25" spans="1:14" x14ac:dyDescent="0.25">
      <c r="A25" s="1"/>
      <c r="B25" s="1" t="s">
        <v>16</v>
      </c>
      <c r="C25" s="1">
        <f>C3+C11+C17</f>
        <v>14</v>
      </c>
      <c r="D25" s="1">
        <f t="shared" ref="D25:M25" si="7">D3+D11+D17</f>
        <v>0.45999999999999996</v>
      </c>
      <c r="E25" s="1">
        <f t="shared" si="7"/>
        <v>-9</v>
      </c>
      <c r="F25" s="1">
        <f t="shared" si="7"/>
        <v>-8</v>
      </c>
      <c r="G25" s="1">
        <f t="shared" si="7"/>
        <v>0</v>
      </c>
      <c r="H25" s="1">
        <f t="shared" si="7"/>
        <v>0.05</v>
      </c>
      <c r="I25" s="1">
        <f t="shared" si="7"/>
        <v>0</v>
      </c>
      <c r="J25" s="1">
        <f t="shared" si="7"/>
        <v>0</v>
      </c>
      <c r="K25" s="1">
        <f t="shared" si="7"/>
        <v>0</v>
      </c>
      <c r="L25" s="1">
        <f t="shared" si="7"/>
        <v>0</v>
      </c>
      <c r="M25" s="1">
        <f t="shared" si="7"/>
        <v>2900</v>
      </c>
      <c r="N25">
        <f t="shared" si="0"/>
        <v>16.55</v>
      </c>
    </row>
    <row r="26" spans="1:1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>
        <f t="shared" si="0"/>
        <v>0</v>
      </c>
    </row>
    <row r="27" spans="1:1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>
        <f t="shared" si="0"/>
        <v>0</v>
      </c>
    </row>
    <row r="28" spans="1:1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>
        <f t="shared" si="0"/>
        <v>0</v>
      </c>
    </row>
    <row r="29" spans="1:1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>
        <f t="shared" si="0"/>
        <v>0</v>
      </c>
    </row>
    <row r="30" spans="1:1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>
        <f t="shared" si="0"/>
        <v>0</v>
      </c>
    </row>
    <row r="31" spans="1:1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>
        <f t="shared" si="0"/>
        <v>0</v>
      </c>
    </row>
    <row r="32" spans="1:1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>
        <f t="shared" si="0"/>
        <v>0</v>
      </c>
    </row>
    <row r="33" spans="1:1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>
        <f t="shared" si="0"/>
        <v>0</v>
      </c>
    </row>
    <row r="34" spans="1:1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>
        <f t="shared" si="0"/>
        <v>0</v>
      </c>
    </row>
    <row r="35" spans="1:1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>
        <f t="shared" si="0"/>
        <v>0</v>
      </c>
    </row>
    <row r="36" spans="1:1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>
        <f t="shared" si="0"/>
        <v>0</v>
      </c>
    </row>
    <row r="37" spans="1:1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>
        <f t="shared" si="0"/>
        <v>0</v>
      </c>
    </row>
    <row r="38" spans="1:1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>
        <f t="shared" si="0"/>
        <v>0</v>
      </c>
    </row>
    <row r="39" spans="1:1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>
        <f t="shared" si="0"/>
        <v>0</v>
      </c>
    </row>
    <row r="40" spans="1:1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>
        <f t="shared" si="0"/>
        <v>0</v>
      </c>
    </row>
    <row r="41" spans="1:1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>
        <f>C41-D41*20-E41*0.8-F41*0.6-H41*5+I41*10+J41/300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Yifan Wen</dc:creator>
  <cp:lastModifiedBy>Wen, Yifan  (Student)</cp:lastModifiedBy>
  <dcterms:created xsi:type="dcterms:W3CDTF">2024-08-19T23:38:21Z</dcterms:created>
  <dcterms:modified xsi:type="dcterms:W3CDTF">2026-02-02T04:27:35Z</dcterms:modified>
</cp:coreProperties>
</file>