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yTh\Documents\GitHub\deadline-balancing\changes\"/>
    </mc:Choice>
  </mc:AlternateContent>
  <xr:revisionPtr revIDLastSave="0" documentId="13_ncr:1_{DA6954C5-EC2A-47DF-8261-616ACE91DD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4-barr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" l="1"/>
  <c r="N24" i="1"/>
  <c r="N25" i="1"/>
  <c r="N26" i="1"/>
  <c r="N27" i="1"/>
  <c r="N28" i="1"/>
  <c r="N29" i="1"/>
  <c r="N20" i="1"/>
  <c r="N21" i="1"/>
  <c r="N3" i="1"/>
  <c r="R5" i="1"/>
  <c r="R6" i="1"/>
  <c r="R8" i="1"/>
  <c r="R10" i="1"/>
  <c r="R11" i="1"/>
  <c r="R13" i="1"/>
  <c r="R14" i="1"/>
  <c r="R16" i="1"/>
  <c r="R18" i="1"/>
  <c r="R3" i="1"/>
  <c r="P17" i="1"/>
  <c r="R17" i="1" s="1"/>
  <c r="N6" i="1"/>
  <c r="N8" i="1"/>
  <c r="N10" i="1"/>
  <c r="N11" i="1"/>
  <c r="N13" i="1"/>
  <c r="N14" i="1"/>
  <c r="N16" i="1"/>
  <c r="N17" i="1"/>
  <c r="N18" i="1"/>
  <c r="N5" i="1"/>
</calcChain>
</file>

<file path=xl/sharedStrings.xml><?xml version="1.0" encoding="utf-8"?>
<sst xmlns="http://schemas.openxmlformats.org/spreadsheetml/2006/main" count="55" uniqueCount="53">
  <si>
    <t>new</t>
  </si>
  <si>
    <t>name</t>
  </si>
  <si>
    <t>pretty_name</t>
  </si>
  <si>
    <t>strength</t>
  </si>
  <si>
    <t>ergonomics</t>
  </si>
  <si>
    <t>weight</t>
  </si>
  <si>
    <t>horizontal_recoil</t>
  </si>
  <si>
    <t>vertical_recoil</t>
  </si>
  <si>
    <t>magazine_capacity</t>
  </si>
  <si>
    <t>bullet_deviation</t>
  </si>
  <si>
    <t>bullet_damage</t>
  </si>
  <si>
    <t>bullet_velocity</t>
  </si>
  <si>
    <t>buck_bullet_deviation</t>
  </si>
  <si>
    <t>fire_rate</t>
  </si>
  <si>
    <t>price</t>
  </si>
  <si>
    <t>kf_416_9i_quad_rail_handguard</t>
  </si>
  <si>
    <t>kf_416_9i_quad_rail_handguard_with_flip_up_sight</t>
  </si>
  <si>
    <t>kf_416_standard_length_quad_rail_handguard</t>
  </si>
  <si>
    <t>kf_416_extended_length_quad_rail_handguard</t>
  </si>
  <si>
    <t>kf_416_dmr_extra_long_handguard</t>
  </si>
  <si>
    <t>kf_416c_handguard</t>
  </si>
  <si>
    <t>kf_416_short_hkey_handguard</t>
  </si>
  <si>
    <t>kf_416_14.5i_qd_mlok_handguard</t>
  </si>
  <si>
    <t>kf_416_12.5i_qd_mlok_handguard</t>
  </si>
  <si>
    <t>kf_416_11.5i_qd_mlok_handguard</t>
  </si>
  <si>
    <t>Standard Length Quad Rail</t>
  </si>
  <si>
    <t>Extended Length Quad Rail</t>
  </si>
  <si>
    <t>DMR Extra Long</t>
  </si>
  <si>
    <t>9" Quad Rail</t>
  </si>
  <si>
    <t>9" Quad Rail w/ Flip Up Sight</t>
  </si>
  <si>
    <t>KF416C</t>
  </si>
  <si>
    <t>KF416 Short H-Key</t>
  </si>
  <si>
    <t>KF416 Long QD H-Key</t>
  </si>
  <si>
    <t>KF416 11.5" QD MLOK</t>
  </si>
  <si>
    <t>KF416 12.5" QD MLOK</t>
  </si>
  <si>
    <t>KF416 14.5" QD MLOK</t>
  </si>
  <si>
    <t>kf_416_long_qd_hkey_handguard</t>
  </si>
  <si>
    <t>vallais_mfh_kf_mlok_10.5inch_handguard</t>
  </si>
  <si>
    <t>northeast_industries_416_mlok_9inch_handguard</t>
  </si>
  <si>
    <t>northeast_industries_416_mlok_13.5inch_handguard</t>
  </si>
  <si>
    <t>Northeast Industries 416 MLOK 9"</t>
  </si>
  <si>
    <t>Northeast Industries 416 MLOK 13.5"</t>
  </si>
  <si>
    <t xml:space="preserve">vallais_mfh_kf_mlok_14.5inch_handguard </t>
  </si>
  <si>
    <t>Vallais MFH KF MLOK 10.5"</t>
  </si>
  <si>
    <t>Vallais MFH KF MLOK 14.5"</t>
  </si>
  <si>
    <t>vallais_2_hole_misc_rail</t>
  </si>
  <si>
    <t>vallais_2_hole_grip_compat_rail</t>
  </si>
  <si>
    <t>vallais_3_hole_misc_rail</t>
  </si>
  <si>
    <t>vallais_3_hole_grip_compat_rail</t>
  </si>
  <si>
    <t>nariakira_vallais_kf_rail_indexer</t>
  </si>
  <si>
    <t>Vallais 2 Hole Accessory</t>
  </si>
  <si>
    <t>Vallais 3 Hole Accessory</t>
  </si>
  <si>
    <t xml:space="preserve">Nariakira Vallais KF Rail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</si>
</sst>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zoomScaleNormal="100" workbookViewId="0">
      <selection activeCell="C24" sqref="C24"/>
    </sheetView>
  </sheetViews>
  <sheetFormatPr defaultColWidth="8.7109375" defaultRowHeight="15" x14ac:dyDescent="0.25"/>
  <cols>
    <col min="1" max="1" width="39.140625" customWidth="1"/>
    <col min="2" max="2" width="49" customWidth="1"/>
  </cols>
  <sheetData>
    <row r="1" spans="1:18" x14ac:dyDescent="0.25">
      <c r="C1" t="s">
        <v>0</v>
      </c>
    </row>
    <row r="2" spans="1:18" x14ac:dyDescent="0.25">
      <c r="A2" t="s">
        <v>1</v>
      </c>
      <c r="B2" t="s">
        <v>2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3</v>
      </c>
    </row>
    <row r="3" spans="1:18" x14ac:dyDescent="0.25">
      <c r="A3" t="s">
        <v>20</v>
      </c>
      <c r="B3" t="s">
        <v>30</v>
      </c>
      <c r="C3">
        <v>11</v>
      </c>
      <c r="D3">
        <v>0.26</v>
      </c>
      <c r="E3">
        <v>-9</v>
      </c>
      <c r="F3">
        <v>-10</v>
      </c>
      <c r="M3">
        <v>1000</v>
      </c>
      <c r="N3">
        <f>C3-D3*20-E3*0.8-F3*0.6-H3*5+I3*10+J3/300</f>
        <v>19</v>
      </c>
      <c r="P3">
        <v>124</v>
      </c>
      <c r="Q3">
        <v>0.03</v>
      </c>
      <c r="R3">
        <f>P3*0.0013+0.07+Q3</f>
        <v>0.26119999999999999</v>
      </c>
    </row>
    <row r="5" spans="1:18" x14ac:dyDescent="0.25">
      <c r="A5" t="s">
        <v>17</v>
      </c>
      <c r="B5" t="s">
        <v>25</v>
      </c>
      <c r="C5">
        <v>9</v>
      </c>
      <c r="D5">
        <v>0.31</v>
      </c>
      <c r="E5">
        <v>-10</v>
      </c>
      <c r="F5">
        <v>-14</v>
      </c>
      <c r="M5">
        <v>0</v>
      </c>
      <c r="N5">
        <f t="shared" ref="N5:N29" si="0">C5-D5*20-E5*0.8-F5*0.6-H5*5+I5*10+J5/300</f>
        <v>19.200000000000003</v>
      </c>
      <c r="P5">
        <v>160</v>
      </c>
      <c r="Q5">
        <v>0.03</v>
      </c>
      <c r="R5">
        <f t="shared" ref="R5:R18" si="1">P5*0.0013+0.07+Q5</f>
        <v>0.30800000000000005</v>
      </c>
    </row>
    <row r="6" spans="1:18" x14ac:dyDescent="0.25">
      <c r="A6" t="s">
        <v>18</v>
      </c>
      <c r="B6" t="s">
        <v>26</v>
      </c>
      <c r="C6">
        <v>7</v>
      </c>
      <c r="D6">
        <v>0.34</v>
      </c>
      <c r="E6">
        <v>-12</v>
      </c>
      <c r="F6">
        <v>-16</v>
      </c>
      <c r="M6">
        <v>500</v>
      </c>
      <c r="N6">
        <f t="shared" si="0"/>
        <v>19.399999999999999</v>
      </c>
      <c r="P6">
        <v>187</v>
      </c>
      <c r="Q6">
        <v>0.03</v>
      </c>
      <c r="R6">
        <f t="shared" si="1"/>
        <v>0.34309999999999996</v>
      </c>
    </row>
    <row r="8" spans="1:18" x14ac:dyDescent="0.25">
      <c r="A8" t="s">
        <v>19</v>
      </c>
      <c r="B8" t="s">
        <v>27</v>
      </c>
      <c r="C8">
        <v>6</v>
      </c>
      <c r="D8">
        <v>0.43</v>
      </c>
      <c r="E8">
        <v>-15</v>
      </c>
      <c r="F8">
        <v>-15</v>
      </c>
      <c r="H8">
        <v>-0.05</v>
      </c>
      <c r="M8">
        <v>1000</v>
      </c>
      <c r="N8">
        <f t="shared" si="0"/>
        <v>18.649999999999999</v>
      </c>
      <c r="P8">
        <v>255</v>
      </c>
      <c r="Q8">
        <v>0.03</v>
      </c>
      <c r="R8">
        <f t="shared" si="1"/>
        <v>0.43149999999999999</v>
      </c>
    </row>
    <row r="10" spans="1:18" x14ac:dyDescent="0.25">
      <c r="A10" t="s">
        <v>15</v>
      </c>
      <c r="B10" t="s">
        <v>28</v>
      </c>
      <c r="C10">
        <v>8</v>
      </c>
      <c r="D10">
        <v>0.32</v>
      </c>
      <c r="E10">
        <v>-12</v>
      </c>
      <c r="F10">
        <v>-14</v>
      </c>
      <c r="M10">
        <v>500</v>
      </c>
      <c r="N10">
        <f t="shared" si="0"/>
        <v>19.600000000000001</v>
      </c>
      <c r="P10">
        <v>170</v>
      </c>
      <c r="Q10">
        <v>0.03</v>
      </c>
      <c r="R10">
        <f t="shared" si="1"/>
        <v>0.32100000000000006</v>
      </c>
    </row>
    <row r="11" spans="1:18" x14ac:dyDescent="0.25">
      <c r="A11" t="s">
        <v>16</v>
      </c>
      <c r="B11" t="s">
        <v>29</v>
      </c>
      <c r="C11">
        <v>8</v>
      </c>
      <c r="D11">
        <v>0.33</v>
      </c>
      <c r="E11">
        <v>-12</v>
      </c>
      <c r="F11">
        <v>-14</v>
      </c>
      <c r="M11">
        <v>750</v>
      </c>
      <c r="N11">
        <f t="shared" si="0"/>
        <v>19.399999999999999</v>
      </c>
      <c r="P11">
        <v>170</v>
      </c>
      <c r="Q11">
        <v>0.04</v>
      </c>
      <c r="R11">
        <f t="shared" si="1"/>
        <v>0.33100000000000002</v>
      </c>
    </row>
    <row r="13" spans="1:18" x14ac:dyDescent="0.25">
      <c r="A13" t="s">
        <v>21</v>
      </c>
      <c r="B13" t="s">
        <v>31</v>
      </c>
      <c r="C13">
        <v>9</v>
      </c>
      <c r="D13">
        <v>0.3</v>
      </c>
      <c r="E13">
        <v>-9</v>
      </c>
      <c r="F13">
        <v>-16</v>
      </c>
      <c r="M13">
        <v>1000</v>
      </c>
      <c r="N13">
        <f t="shared" si="0"/>
        <v>19.799999999999997</v>
      </c>
      <c r="P13">
        <v>166</v>
      </c>
      <c r="Q13">
        <v>0.01</v>
      </c>
      <c r="R13">
        <f t="shared" si="1"/>
        <v>0.29580000000000001</v>
      </c>
    </row>
    <row r="14" spans="1:18" x14ac:dyDescent="0.25">
      <c r="A14" t="s">
        <v>36</v>
      </c>
      <c r="B14" t="s">
        <v>32</v>
      </c>
      <c r="C14">
        <v>6</v>
      </c>
      <c r="D14">
        <v>0.38</v>
      </c>
      <c r="E14">
        <v>-12</v>
      </c>
      <c r="F14">
        <v>-19</v>
      </c>
      <c r="M14">
        <v>1500</v>
      </c>
      <c r="N14">
        <f t="shared" si="0"/>
        <v>19.400000000000002</v>
      </c>
      <c r="P14">
        <v>234</v>
      </c>
      <c r="Q14">
        <v>0.01</v>
      </c>
      <c r="R14">
        <f t="shared" si="1"/>
        <v>0.38419999999999999</v>
      </c>
    </row>
    <row r="16" spans="1:18" x14ac:dyDescent="0.25">
      <c r="A16" t="s">
        <v>24</v>
      </c>
      <c r="B16" t="s">
        <v>33</v>
      </c>
      <c r="C16">
        <v>10</v>
      </c>
      <c r="D16">
        <v>0.3</v>
      </c>
      <c r="E16">
        <v>-13</v>
      </c>
      <c r="F16">
        <v>-9</v>
      </c>
      <c r="M16">
        <v>1000</v>
      </c>
      <c r="N16">
        <f t="shared" si="0"/>
        <v>19.8</v>
      </c>
      <c r="P16">
        <v>176</v>
      </c>
      <c r="R16">
        <f t="shared" si="1"/>
        <v>0.29880000000000001</v>
      </c>
    </row>
    <row r="17" spans="1:18" x14ac:dyDescent="0.25">
      <c r="A17" t="s">
        <v>23</v>
      </c>
      <c r="B17" t="s">
        <v>34</v>
      </c>
      <c r="C17">
        <v>9</v>
      </c>
      <c r="D17">
        <v>0.32</v>
      </c>
      <c r="E17">
        <v>-14</v>
      </c>
      <c r="F17">
        <v>-10</v>
      </c>
      <c r="M17">
        <v>1250</v>
      </c>
      <c r="N17">
        <f t="shared" si="0"/>
        <v>19.8</v>
      </c>
      <c r="P17">
        <f>195</f>
        <v>195</v>
      </c>
      <c r="R17">
        <f t="shared" si="1"/>
        <v>0.32350000000000001</v>
      </c>
    </row>
    <row r="18" spans="1:18" x14ac:dyDescent="0.25">
      <c r="A18" t="s">
        <v>22</v>
      </c>
      <c r="B18" t="s">
        <v>35</v>
      </c>
      <c r="C18">
        <v>7</v>
      </c>
      <c r="D18">
        <v>0.37</v>
      </c>
      <c r="E18">
        <v>-16</v>
      </c>
      <c r="F18">
        <v>-12</v>
      </c>
      <c r="M18">
        <v>1500</v>
      </c>
      <c r="N18">
        <f t="shared" si="0"/>
        <v>19.600000000000001</v>
      </c>
      <c r="P18">
        <v>233</v>
      </c>
      <c r="R18">
        <f t="shared" si="1"/>
        <v>0.37290000000000001</v>
      </c>
    </row>
    <row r="20" spans="1:18" x14ac:dyDescent="0.25">
      <c r="A20" t="s">
        <v>38</v>
      </c>
      <c r="B20" t="s">
        <v>40</v>
      </c>
      <c r="C20">
        <v>10</v>
      </c>
      <c r="D20">
        <v>0.24</v>
      </c>
      <c r="E20">
        <v>-10</v>
      </c>
      <c r="F20">
        <v>-11</v>
      </c>
      <c r="M20">
        <v>1250</v>
      </c>
      <c r="N20">
        <f t="shared" si="0"/>
        <v>19.799999999999997</v>
      </c>
    </row>
    <row r="21" spans="1:18" x14ac:dyDescent="0.25">
      <c r="A21" t="s">
        <v>39</v>
      </c>
      <c r="B21" t="s">
        <v>41</v>
      </c>
      <c r="C21">
        <v>7</v>
      </c>
      <c r="D21">
        <v>0.34</v>
      </c>
      <c r="E21">
        <v>-12</v>
      </c>
      <c r="F21">
        <v>-16</v>
      </c>
      <c r="M21">
        <v>1750</v>
      </c>
      <c r="N21">
        <f t="shared" si="0"/>
        <v>19.399999999999999</v>
      </c>
    </row>
    <row r="23" spans="1:18" x14ac:dyDescent="0.25">
      <c r="A23" t="s">
        <v>37</v>
      </c>
      <c r="B23" t="s">
        <v>43</v>
      </c>
      <c r="C23">
        <v>4</v>
      </c>
      <c r="D23">
        <v>0.31</v>
      </c>
      <c r="E23">
        <v>-17</v>
      </c>
      <c r="F23">
        <v>-10</v>
      </c>
      <c r="M23">
        <v>1500</v>
      </c>
      <c r="N23">
        <f t="shared" si="0"/>
        <v>17.400000000000002</v>
      </c>
    </row>
    <row r="24" spans="1:18" x14ac:dyDescent="0.25">
      <c r="A24" t="s">
        <v>42</v>
      </c>
      <c r="B24" t="s">
        <v>44</v>
      </c>
      <c r="C24">
        <v>2</v>
      </c>
      <c r="D24">
        <v>0.39</v>
      </c>
      <c r="E24">
        <v>-18</v>
      </c>
      <c r="F24">
        <v>-13</v>
      </c>
      <c r="M24">
        <v>2000</v>
      </c>
      <c r="N24">
        <f t="shared" si="0"/>
        <v>16.399999999999999</v>
      </c>
    </row>
    <row r="25" spans="1:18" x14ac:dyDescent="0.25">
      <c r="A25" t="s">
        <v>45</v>
      </c>
      <c r="B25" t="s">
        <v>50</v>
      </c>
      <c r="D25">
        <v>0.03</v>
      </c>
      <c r="M25">
        <v>100</v>
      </c>
      <c r="N25">
        <f t="shared" si="0"/>
        <v>-0.6</v>
      </c>
    </row>
    <row r="26" spans="1:18" x14ac:dyDescent="0.25">
      <c r="A26" t="s">
        <v>46</v>
      </c>
      <c r="B26" t="s">
        <v>50</v>
      </c>
      <c r="D26">
        <v>0.03</v>
      </c>
      <c r="M26">
        <v>100</v>
      </c>
      <c r="N26">
        <f t="shared" si="0"/>
        <v>-0.6</v>
      </c>
    </row>
    <row r="27" spans="1:18" x14ac:dyDescent="0.25">
      <c r="A27" t="s">
        <v>47</v>
      </c>
      <c r="B27" t="s">
        <v>51</v>
      </c>
      <c r="D27">
        <v>0.05</v>
      </c>
      <c r="M27">
        <v>150</v>
      </c>
      <c r="N27">
        <f t="shared" si="0"/>
        <v>-1</v>
      </c>
    </row>
    <row r="28" spans="1:18" x14ac:dyDescent="0.25">
      <c r="A28" t="s">
        <v>48</v>
      </c>
      <c r="B28" t="s">
        <v>51</v>
      </c>
      <c r="D28">
        <v>0.05</v>
      </c>
      <c r="M28">
        <v>150</v>
      </c>
      <c r="N28">
        <f t="shared" si="0"/>
        <v>-1</v>
      </c>
    </row>
    <row r="29" spans="1:18" x14ac:dyDescent="0.25">
      <c r="A29" t="s">
        <v>49</v>
      </c>
      <c r="B29" t="s">
        <v>52</v>
      </c>
      <c r="C29">
        <v>5</v>
      </c>
      <c r="D29">
        <v>0.02</v>
      </c>
      <c r="E29">
        <v>0</v>
      </c>
      <c r="F29">
        <v>-2</v>
      </c>
      <c r="M29">
        <v>250</v>
      </c>
      <c r="N29">
        <f t="shared" si="0"/>
        <v>5.8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m4-barrels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furry slayer</cp:lastModifiedBy>
  <dcterms:created xsi:type="dcterms:W3CDTF">2024-08-19T23:38:21Z</dcterms:created>
  <dcterms:modified xsi:type="dcterms:W3CDTF">2026-10-14T06:15:23Z</dcterms:modified>
</cp:coreProperties>
</file>