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4-barrels" sheetId="1" r:id="rId4"/>
  </sheets>
  <definedNames/>
  <calcPr/>
  <extLst>
    <ext uri="GoogleSheetsCustomDataVersion2">
      <go:sheetsCustomData xmlns:go="http://customooxmlschemas.google.com/" r:id="rId5" roundtripDataChecksum="doFV0TQQSmy+YhlxFLDSioJ7UE+MYXvGYP+pfCauZFo="/>
    </ext>
  </extLst>
</workbook>
</file>

<file path=xl/sharedStrings.xml><?xml version="1.0" encoding="utf-8"?>
<sst xmlns="http://schemas.openxmlformats.org/spreadsheetml/2006/main" count="155" uniqueCount="148">
  <si>
    <t>new</t>
  </si>
  <si>
    <t>name</t>
  </si>
  <si>
    <t>pretty_name</t>
  </si>
  <si>
    <t>ergonomics</t>
  </si>
  <si>
    <t>weight</t>
  </si>
  <si>
    <t>horizontal_recoil</t>
  </si>
  <si>
    <t>vertical_recoil</t>
  </si>
  <si>
    <t>magazine_capacity</t>
  </si>
  <si>
    <t>barrel_deviation</t>
  </si>
  <si>
    <t>bullet_damage</t>
  </si>
  <si>
    <t>bullet_velocity</t>
  </si>
  <si>
    <t>buck_barrel_deviation</t>
  </si>
  <si>
    <t>fire_rate</t>
  </si>
  <si>
    <t>price</t>
  </si>
  <si>
    <t>strength</t>
  </si>
  <si>
    <t>colt_m4_std_carbine_plastic_handguard</t>
  </si>
  <si>
    <t>Colt M4 Standard Carbine Length Plastic</t>
  </si>
  <si>
    <t>colt_a2_std_rifle_plastic_handguard</t>
  </si>
  <si>
    <t>Colt M16A2 Rifle Length Plastic</t>
  </si>
  <si>
    <t>usgi_m16a1_triangle_handguard</t>
  </si>
  <si>
    <t>USGI M16A1 Triangle Handguard</t>
  </si>
  <si>
    <t>hart_xm177_handguard_bottom_part</t>
  </si>
  <si>
    <t>XM177 Carbine Handguard</t>
  </si>
  <si>
    <t>colt_607_car15_triangle_7inch_handguard</t>
  </si>
  <si>
    <t>Colt 607 CAR-15 Triangle 7" Handguard</t>
  </si>
  <si>
    <t>warsport_lvoa_s_13.5inch_handguard</t>
  </si>
  <si>
    <t>Warsport LVOA-S 13.5" Handguard</t>
  </si>
  <si>
    <t>warsport_lvoa_c_16.25inch_handguard</t>
  </si>
  <si>
    <t>Warsport LVOA-C 16.25" Handguard</t>
  </si>
  <si>
    <t>mk10_rl_handguard</t>
  </si>
  <si>
    <t>MK10RL</t>
  </si>
  <si>
    <t>dd_mk18_ris_2_9.55_handguard</t>
  </si>
  <si>
    <t>DD Mk18 RIS II 9.55</t>
  </si>
  <si>
    <t>dd_mk18_fsp_ris_2_9.55_handguard</t>
  </si>
  <si>
    <t>DD MK18 FSP RIS II 9.55</t>
  </si>
  <si>
    <t>dd_m4a1_ris_2_12.25_handguard</t>
  </si>
  <si>
    <t>DD M4A1 RIS II 12.25</t>
  </si>
  <si>
    <t>dd_m4a1_fsp_ris_2_12.25_handguard</t>
  </si>
  <si>
    <t>DD M4A1 FSP RIS II 12.25</t>
  </si>
  <si>
    <t>kac_ras_m4a1_handguard</t>
  </si>
  <si>
    <t>KAC RAS</t>
  </si>
  <si>
    <t>kac_m5_ras_lower_handguard</t>
  </si>
  <si>
    <t>KAC M5 RAS Lower Handguard</t>
  </si>
  <si>
    <t>kac_m5_ras_upper_handguard</t>
  </si>
  <si>
    <t>KAC M5 RAS Upper Handguard</t>
  </si>
  <si>
    <t>kac_mre_free_float_ras_rifle_12inch_handguard</t>
  </si>
  <si>
    <t xml:space="preserve">KAC MRE RAS Free Float 12" </t>
  </si>
  <si>
    <t>kac_mre_standard_front_filler_tube</t>
  </si>
  <si>
    <t>KAC MRE Standard Front Filler Tube</t>
  </si>
  <si>
    <t>kac_mre_railed_front_filler_tube</t>
  </si>
  <si>
    <t>KAC MRE Railed Front Filler Tube</t>
  </si>
  <si>
    <t>kac_free_float_ras_rifle_12inch_handguard</t>
  </si>
  <si>
    <t xml:space="preserve">KAC Free Float RAS Rifle 12" </t>
  </si>
  <si>
    <t>kac_free_float_ras_medium_long_10.375inch_handguard</t>
  </si>
  <si>
    <t>KAC Free Float RAS Medium Long 10.375"</t>
  </si>
  <si>
    <t>kac_free_float_ras_carbine_7inch_handguard</t>
  </si>
  <si>
    <t xml:space="preserve">KAC Free Float RAS Carbine 7" </t>
  </si>
  <si>
    <t>veriforce_tactical_ar15_4inch_ultralight_mlok_freefloat_hg</t>
  </si>
  <si>
    <t>Veriforce Tactical AR-15 Ultralight MLOK 4"</t>
  </si>
  <si>
    <t>magpul_moe_sl_carbine_handguard</t>
  </si>
  <si>
    <t>Moe SL Carbine Length</t>
  </si>
  <si>
    <t>magpul_moe_sl_mid_handguard</t>
  </si>
  <si>
    <t>MOE SL Mid Length</t>
  </si>
  <si>
    <t>monstrum_tactical_a_series_free_float_10inch_mlok_handguard</t>
  </si>
  <si>
    <t>Monstrum Tactical A Series Free Float 10" MLOK</t>
  </si>
  <si>
    <t>monstrum_tactical_a_series_free_float_12inch_mlok_handguard</t>
  </si>
  <si>
    <t>Monstrum Tactical A Series Free Float 12" MLOK</t>
  </si>
  <si>
    <t>monstrum_tactical_a_series_free_float_15inch_mlok_handguard</t>
  </si>
  <si>
    <t>Monstrum Tactical A Series Free Float 15" MLOK</t>
  </si>
  <si>
    <t>monstrum_tactical_a_series_free_float_16.5inch_mlok_handguard</t>
  </si>
  <si>
    <t>Monstrum Tactical A Series Free Float 16.5" MLOK</t>
  </si>
  <si>
    <t>sai_10_qd_handguard</t>
  </si>
  <si>
    <t>SAI 10" QD Rail</t>
  </si>
  <si>
    <t>sai_14.5_qd_handguard</t>
  </si>
  <si>
    <t>SAI 14.5" QD Rail</t>
  </si>
  <si>
    <t>stngr_lvnc_10i</t>
  </si>
  <si>
    <t>Stngr Lvnc 10"</t>
  </si>
  <si>
    <t>stngr_hwk_15i</t>
  </si>
  <si>
    <t>Stngr Hkw 15"</t>
  </si>
  <si>
    <t>aeroknox_ax15_10.5inch_handguard</t>
  </si>
  <si>
    <t>Aeroknox AX15 10.5" Handguard</t>
  </si>
  <si>
    <t>radian_weapons_ar15_model_1_m1curgh_10inch_handguard</t>
  </si>
  <si>
    <t>Radian Weapons AR15 Model 1 M1CURGH 10" Handguard</t>
  </si>
  <si>
    <t>noveske_n4_nsr_gen3_handguard_9.15inch</t>
  </si>
  <si>
    <t>Noveske N4 NSR Gen 3 9.15in Handguard</t>
  </si>
  <si>
    <t>2a_armament_builder_series_gen1_7inch_handguard</t>
  </si>
  <si>
    <t>2A Armament Builder Series Gen 1 7"</t>
  </si>
  <si>
    <t>2a_armament_builder_series_gen1_10inch_handguard</t>
  </si>
  <si>
    <t>2A Armament Builder Series Gen 1 10"</t>
  </si>
  <si>
    <t>2a_armament_builder_series_gen1_12inch_handguard</t>
  </si>
  <si>
    <t>2A Armament Builder Series Gen 1 12"</t>
  </si>
  <si>
    <t>2a_armament_builder_series_gen1_15inch_handguard</t>
  </si>
  <si>
    <t>2A Armament Builder Series Gen 1 15"</t>
  </si>
  <si>
    <t>geissele_smr_mk4_federal_mlok_10inch</t>
  </si>
  <si>
    <t>Geissele Super Modular Rail Mk4 Federal MLOK 10"</t>
  </si>
  <si>
    <t>geissele_smr_mk16_mlok_urg_i_9.3inch</t>
  </si>
  <si>
    <t>Geissele Super Modular Rail MK16 M-LOK URG-I 9.3"</t>
  </si>
  <si>
    <t>geissele_smr_mk16_mlok_urg_i_10.5inch</t>
  </si>
  <si>
    <t>Geissele Super Modular Rail MK16 M-LOK URG-I 10.5"</t>
  </si>
  <si>
    <t>geissele_smr_mk16_mlok_urg_i_13.5inch</t>
  </si>
  <si>
    <t>Geissele Super Modular Rail MK16 M-LOK URG-I 13.5"</t>
  </si>
  <si>
    <t>geissele_smr_mk16_mlok_urg_i_15inch</t>
  </si>
  <si>
    <t>Geissele Super Modular Rail MK16 M-LOK URG-I 15"</t>
  </si>
  <si>
    <t>kac_urx_6_mlok_13inch_handguard</t>
  </si>
  <si>
    <t>KAC URX 6 MLOK 13"</t>
  </si>
  <si>
    <t>kac_urx_4_mlok_8.5inch_handguard</t>
  </si>
  <si>
    <t>KAC URX 4 MLOK 8.5"</t>
  </si>
  <si>
    <t>kac_urx_4_mlok_10.75inch_handguard</t>
  </si>
  <si>
    <t>KAC URX 4 MLOK 10.75"</t>
  </si>
  <si>
    <t>kac_urx_4_mlok_13inch_handguard</t>
  </si>
  <si>
    <t>KAC URX 4 MLOK 13"</t>
  </si>
  <si>
    <t>kac_urx_4_mlok_14.5inch_handguard</t>
  </si>
  <si>
    <t>KAC URX 4 MLOK 14.5"</t>
  </si>
  <si>
    <t>midwest_industries_supp_series_sp7m_mlok_handguard</t>
  </si>
  <si>
    <t xml:space="preserve">Midwest Industries Supp Series SP7M 7.25" </t>
  </si>
  <si>
    <t>midwest_industries_supp_series_sp9m_mlok_handguard</t>
  </si>
  <si>
    <t>Midwest Industries Supp Series SP9M 9.25"</t>
  </si>
  <si>
    <t>midwest_industries_supp_series_sp10m_mlok_handguard</t>
  </si>
  <si>
    <t>Midwest Industries Supp Series SP10M 10.5"</t>
  </si>
  <si>
    <t>midwest_industries_supp_series_sp12m_mlok_handguard</t>
  </si>
  <si>
    <t>Midwest Industries Supp Series SP12M 12.625"</t>
  </si>
  <si>
    <t>midwest_industries_supp_series_sp15m_mlok_handguard</t>
  </si>
  <si>
    <t>Midwest Industries Supp Series SP15M 15"</t>
  </si>
  <si>
    <t>midwest_industries_supp_series_sp18m_mlok_handguard</t>
  </si>
  <si>
    <t>Midwest Industries Supp Series SP18M 18"</t>
  </si>
  <si>
    <t>mk10_bottom_adapter_large</t>
  </si>
  <si>
    <t>MK10RL Large</t>
  </si>
  <si>
    <t>mk10_bottom_adapter_small</t>
  </si>
  <si>
    <t>MK10RL Small</t>
  </si>
  <si>
    <t>mk10_side_adapter_large</t>
  </si>
  <si>
    <t>mk10_side_adapter_small</t>
  </si>
  <si>
    <t>mk10_top_adapter_large</t>
  </si>
  <si>
    <t>fab_defense_upr_16_4_bottom</t>
  </si>
  <si>
    <t>FAB Defense UPR 16/4 Picatinny Rail</t>
  </si>
  <si>
    <t>ncstar_marsv2_bottom</t>
  </si>
  <si>
    <t>NcStar MARSV2 Picatinny Rail</t>
  </si>
  <si>
    <t>fab_defense_upr_16_4_top</t>
  </si>
  <si>
    <t>ncstar_marsv2_top</t>
  </si>
  <si>
    <t>warsport_handguard_long_accessory_rail_bottom</t>
  </si>
  <si>
    <t>Warsport Long Accessory Rail</t>
  </si>
  <si>
    <t>warsport_handguard_long_accessory_rail_side</t>
  </si>
  <si>
    <t>warsport_handguard_short_accessory_rail_bottom</t>
  </si>
  <si>
    <t>Warsport Short Accessory Rail</t>
  </si>
  <si>
    <t>warsport_handguard_short_accessory_rail_side</t>
  </si>
  <si>
    <t>hart_xm177e1_slim_plastic_handguard</t>
  </si>
  <si>
    <t>XM177E1 Slim Plastic Handguard</t>
  </si>
  <si>
    <t>hart_xm177e2_slim_plastic_handguard</t>
  </si>
  <si>
    <t>XM177E2 Slim Plastic Handguard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</si>
</sst>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0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49.0"/>
    <col customWidth="1" min="3" max="26" width="8.71"/>
  </cols>
  <sheetData>
    <row r="1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>
      <c r="A3" s="2" t="s">
        <v>15</v>
      </c>
      <c r="B3" s="2" t="s">
        <v>16</v>
      </c>
      <c r="C3" s="2">
        <v>14.0</v>
      </c>
      <c r="D3" s="2">
        <v>0.2</v>
      </c>
      <c r="E3" s="2">
        <v>-10.0</v>
      </c>
      <c r="F3" s="2">
        <v>-10.0</v>
      </c>
      <c r="H3" s="2">
        <v>0.03</v>
      </c>
      <c r="M3" s="2">
        <v>0.0</v>
      </c>
      <c r="N3" s="1">
        <f t="shared" ref="N3:N73" si="1">C3-D3*20-E3*0.8-F3*0.6-H3*5+I3*10+J3/300</f>
        <v>23.85</v>
      </c>
    </row>
    <row r="4">
      <c r="A4" s="2" t="s">
        <v>17</v>
      </c>
      <c r="B4" s="2" t="s">
        <v>18</v>
      </c>
      <c r="C4" s="2">
        <v>12.0</v>
      </c>
      <c r="D4" s="2">
        <v>0.29</v>
      </c>
      <c r="E4" s="2">
        <v>-11.0</v>
      </c>
      <c r="F4" s="2">
        <v>-16.0</v>
      </c>
      <c r="H4" s="2">
        <v>0.03</v>
      </c>
      <c r="M4" s="2">
        <v>500.0</v>
      </c>
      <c r="N4" s="1">
        <f t="shared" si="1"/>
        <v>24.45</v>
      </c>
    </row>
    <row r="5">
      <c r="A5" s="2" t="s">
        <v>19</v>
      </c>
      <c r="B5" s="2" t="s">
        <v>20</v>
      </c>
      <c r="C5" s="2">
        <v>13.0</v>
      </c>
      <c r="D5" s="2">
        <v>0.27</v>
      </c>
      <c r="E5" s="2">
        <v>-10.0</v>
      </c>
      <c r="F5" s="2">
        <v>-15.0</v>
      </c>
      <c r="H5" s="2">
        <v>0.03</v>
      </c>
      <c r="M5" s="2">
        <v>600.0</v>
      </c>
      <c r="N5" s="1">
        <f t="shared" si="1"/>
        <v>24.45</v>
      </c>
    </row>
    <row r="6">
      <c r="A6" s="3" t="s">
        <v>21</v>
      </c>
      <c r="B6" s="4" t="s">
        <v>22</v>
      </c>
      <c r="C6" s="4">
        <v>17.0</v>
      </c>
      <c r="D6" s="4">
        <v>0.2</v>
      </c>
      <c r="E6" s="4">
        <v>-9.0</v>
      </c>
      <c r="F6" s="4">
        <v>-9.0</v>
      </c>
      <c r="M6" s="4">
        <v>750.0</v>
      </c>
      <c r="N6" s="1">
        <f t="shared" si="1"/>
        <v>25.6</v>
      </c>
    </row>
    <row r="7">
      <c r="A7" s="2" t="s">
        <v>23</v>
      </c>
      <c r="B7" s="2" t="s">
        <v>24</v>
      </c>
      <c r="C7" s="2">
        <v>16.0</v>
      </c>
      <c r="D7" s="2">
        <v>0.19</v>
      </c>
      <c r="E7" s="2">
        <v>-8.0</v>
      </c>
      <c r="F7" s="2">
        <v>-10.0</v>
      </c>
      <c r="H7" s="2">
        <v>0.03</v>
      </c>
      <c r="M7" s="2">
        <v>550.0</v>
      </c>
      <c r="N7" s="1">
        <f t="shared" si="1"/>
        <v>24.45</v>
      </c>
    </row>
    <row r="8">
      <c r="A8" s="2" t="s">
        <v>25</v>
      </c>
      <c r="B8" s="2" t="s">
        <v>26</v>
      </c>
      <c r="C8" s="2">
        <v>9.0</v>
      </c>
      <c r="D8" s="2">
        <v>0.32</v>
      </c>
      <c r="E8" s="2">
        <v>-9.0</v>
      </c>
      <c r="F8" s="2">
        <v>-14.0</v>
      </c>
      <c r="M8" s="2">
        <v>900.0</v>
      </c>
      <c r="N8" s="1">
        <f t="shared" si="1"/>
        <v>18.2</v>
      </c>
    </row>
    <row r="9">
      <c r="A9" s="2" t="s">
        <v>27</v>
      </c>
      <c r="B9" s="2" t="s">
        <v>28</v>
      </c>
      <c r="C9" s="2">
        <v>7.0</v>
      </c>
      <c r="D9" s="2">
        <v>0.36</v>
      </c>
      <c r="E9" s="2">
        <v>-11.0</v>
      </c>
      <c r="F9" s="2">
        <v>-16.0</v>
      </c>
      <c r="M9" s="2">
        <v>950.0</v>
      </c>
      <c r="N9" s="1">
        <f t="shared" si="1"/>
        <v>18.2</v>
      </c>
    </row>
    <row r="10">
      <c r="A10" s="2" t="s">
        <v>29</v>
      </c>
      <c r="B10" s="2" t="s">
        <v>30</v>
      </c>
      <c r="C10" s="2">
        <v>13.0</v>
      </c>
      <c r="D10" s="2">
        <v>0.34</v>
      </c>
      <c r="E10" s="2">
        <v>-12.0</v>
      </c>
      <c r="F10" s="2">
        <v>-12.0</v>
      </c>
      <c r="M10" s="2">
        <v>1000.0</v>
      </c>
      <c r="N10" s="1">
        <f t="shared" si="1"/>
        <v>23</v>
      </c>
    </row>
    <row r="11">
      <c r="A11" s="2" t="s">
        <v>31</v>
      </c>
      <c r="B11" s="2" t="s">
        <v>32</v>
      </c>
      <c r="C11" s="2">
        <v>8.0</v>
      </c>
      <c r="D11" s="2">
        <v>0.3</v>
      </c>
      <c r="E11" s="2">
        <v>-11.0</v>
      </c>
      <c r="F11" s="2">
        <v>-14.0</v>
      </c>
      <c r="M11" s="2">
        <v>1000.0</v>
      </c>
      <c r="N11" s="1">
        <f t="shared" si="1"/>
        <v>19.2</v>
      </c>
    </row>
    <row r="12">
      <c r="A12" s="2" t="s">
        <v>33</v>
      </c>
      <c r="B12" s="2" t="s">
        <v>34</v>
      </c>
      <c r="C12" s="2">
        <v>8.0</v>
      </c>
      <c r="D12" s="2">
        <v>0.28</v>
      </c>
      <c r="E12" s="2">
        <v>-11.0</v>
      </c>
      <c r="F12" s="2">
        <v>-13.0</v>
      </c>
      <c r="M12" s="2">
        <v>1000.0</v>
      </c>
      <c r="N12" s="1">
        <f t="shared" si="1"/>
        <v>19</v>
      </c>
    </row>
    <row r="13">
      <c r="A13" s="2" t="s">
        <v>35</v>
      </c>
      <c r="B13" s="2" t="s">
        <v>36</v>
      </c>
      <c r="C13" s="2">
        <v>6.0</v>
      </c>
      <c r="D13" s="2">
        <v>0.35</v>
      </c>
      <c r="E13" s="2">
        <v>-13.0</v>
      </c>
      <c r="F13" s="2">
        <v>-16.0</v>
      </c>
      <c r="M13" s="2">
        <v>1100.0</v>
      </c>
      <c r="N13" s="1">
        <f t="shared" si="1"/>
        <v>19</v>
      </c>
    </row>
    <row r="14">
      <c r="A14" s="2" t="s">
        <v>37</v>
      </c>
      <c r="B14" s="2" t="s">
        <v>38</v>
      </c>
      <c r="C14" s="2">
        <v>6.0</v>
      </c>
      <c r="D14" s="2">
        <v>0.33</v>
      </c>
      <c r="E14" s="2">
        <v>-13.0</v>
      </c>
      <c r="F14" s="2">
        <v>-15.0</v>
      </c>
      <c r="M14" s="2">
        <v>1100.0</v>
      </c>
      <c r="N14" s="1">
        <f t="shared" si="1"/>
        <v>18.8</v>
      </c>
    </row>
    <row r="15">
      <c r="A15" s="2" t="s">
        <v>39</v>
      </c>
      <c r="B15" s="2" t="s">
        <v>40</v>
      </c>
      <c r="C15" s="2">
        <v>10.0</v>
      </c>
      <c r="D15" s="2">
        <v>0.23</v>
      </c>
      <c r="E15" s="2">
        <v>-6.0</v>
      </c>
      <c r="F15" s="2">
        <v>-13.0</v>
      </c>
      <c r="H15" s="2">
        <v>0.03</v>
      </c>
      <c r="M15" s="2">
        <v>700.0</v>
      </c>
      <c r="N15" s="1">
        <f t="shared" si="1"/>
        <v>17.85</v>
      </c>
    </row>
    <row r="16">
      <c r="A16" s="2" t="s">
        <v>41</v>
      </c>
      <c r="B16" s="2" t="s">
        <v>42</v>
      </c>
      <c r="M16" s="2">
        <v>0.0</v>
      </c>
      <c r="N16" s="1">
        <f t="shared" si="1"/>
        <v>0</v>
      </c>
    </row>
    <row r="17">
      <c r="A17" s="2" t="s">
        <v>43</v>
      </c>
      <c r="B17" s="2" t="s">
        <v>44</v>
      </c>
      <c r="C17" s="2">
        <v>8.0</v>
      </c>
      <c r="D17" s="2">
        <v>0.34</v>
      </c>
      <c r="E17" s="2">
        <v>-13.0</v>
      </c>
      <c r="F17" s="2">
        <v>-13.0</v>
      </c>
      <c r="H17" s="2">
        <v>0.03</v>
      </c>
      <c r="M17" s="2">
        <v>1200.0</v>
      </c>
      <c r="N17" s="1">
        <f t="shared" si="1"/>
        <v>19.25</v>
      </c>
    </row>
    <row r="18">
      <c r="A18" s="2" t="s">
        <v>45</v>
      </c>
      <c r="B18" s="2" t="s">
        <v>46</v>
      </c>
      <c r="C18" s="2">
        <v>7.0</v>
      </c>
      <c r="D18" s="2">
        <v>0.27</v>
      </c>
      <c r="E18" s="2">
        <v>-11.0</v>
      </c>
      <c r="F18" s="2">
        <v>-14.0</v>
      </c>
      <c r="M18" s="2">
        <v>1400.0</v>
      </c>
      <c r="N18" s="1">
        <f t="shared" si="1"/>
        <v>18.8</v>
      </c>
    </row>
    <row r="19">
      <c r="A19" s="2" t="s">
        <v>47</v>
      </c>
      <c r="B19" s="2" t="s">
        <v>48</v>
      </c>
      <c r="C19" s="2">
        <v>1.0</v>
      </c>
      <c r="D19" s="2">
        <v>0.06</v>
      </c>
      <c r="M19" s="2">
        <v>0.0</v>
      </c>
      <c r="N19" s="1">
        <f t="shared" si="1"/>
        <v>-0.2</v>
      </c>
    </row>
    <row r="20">
      <c r="A20" s="2" t="s">
        <v>49</v>
      </c>
      <c r="B20" s="2" t="s">
        <v>50</v>
      </c>
      <c r="C20" s="2">
        <v>1.0</v>
      </c>
      <c r="D20" s="2">
        <v>0.1</v>
      </c>
      <c r="F20" s="2">
        <v>-1.0</v>
      </c>
      <c r="M20" s="2">
        <v>500.0</v>
      </c>
      <c r="N20" s="1">
        <f t="shared" si="1"/>
        <v>-0.4</v>
      </c>
    </row>
    <row r="21">
      <c r="A21" s="2" t="s">
        <v>51</v>
      </c>
      <c r="B21" s="2" t="s">
        <v>52</v>
      </c>
      <c r="C21" s="2">
        <v>7.0</v>
      </c>
      <c r="D21" s="2">
        <v>0.33</v>
      </c>
      <c r="E21" s="2">
        <v>-10.0</v>
      </c>
      <c r="F21" s="2">
        <v>-17.0</v>
      </c>
      <c r="M21" s="2">
        <v>900.0</v>
      </c>
      <c r="N21" s="1">
        <f t="shared" si="1"/>
        <v>18.6</v>
      </c>
    </row>
    <row r="22" ht="15.75" customHeight="1">
      <c r="A22" s="2" t="s">
        <v>53</v>
      </c>
      <c r="B22" s="2" t="s">
        <v>54</v>
      </c>
      <c r="C22" s="2">
        <v>9.0</v>
      </c>
      <c r="D22" s="2">
        <v>0.28</v>
      </c>
      <c r="E22" s="2">
        <v>-8.0</v>
      </c>
      <c r="F22" s="2">
        <v>-15.0</v>
      </c>
      <c r="M22" s="2">
        <v>1200.0</v>
      </c>
      <c r="N22" s="1">
        <f t="shared" si="1"/>
        <v>18.8</v>
      </c>
    </row>
    <row r="23" ht="15.75" customHeight="1">
      <c r="A23" s="2" t="s">
        <v>55</v>
      </c>
      <c r="B23" s="2" t="s">
        <v>56</v>
      </c>
      <c r="C23" s="2">
        <v>11.0</v>
      </c>
      <c r="D23" s="2">
        <v>0.21</v>
      </c>
      <c r="E23" s="2">
        <v>-5.0</v>
      </c>
      <c r="F23" s="2">
        <v>-12.0</v>
      </c>
      <c r="M23" s="2">
        <v>750.0</v>
      </c>
      <c r="N23" s="1">
        <f t="shared" si="1"/>
        <v>18</v>
      </c>
    </row>
    <row r="24" ht="15.75" customHeight="1">
      <c r="A24" s="2" t="s">
        <v>57</v>
      </c>
      <c r="B24" s="2" t="s">
        <v>58</v>
      </c>
      <c r="C24" s="2">
        <v>14.0</v>
      </c>
      <c r="D24" s="2">
        <v>0.13</v>
      </c>
      <c r="E24" s="2">
        <v>-2.0</v>
      </c>
      <c r="F24" s="2">
        <v>-5.0</v>
      </c>
      <c r="M24" s="2">
        <v>700.0</v>
      </c>
      <c r="N24" s="1">
        <f t="shared" si="1"/>
        <v>16</v>
      </c>
    </row>
    <row r="25" ht="15.75" customHeight="1">
      <c r="A25" s="2" t="s">
        <v>59</v>
      </c>
      <c r="B25" s="2" t="s">
        <v>60</v>
      </c>
      <c r="C25" s="2">
        <v>14.0</v>
      </c>
      <c r="D25" s="2">
        <v>0.21</v>
      </c>
      <c r="E25" s="2">
        <v>-4.0</v>
      </c>
      <c r="F25" s="2">
        <v>-8.0</v>
      </c>
      <c r="M25" s="2">
        <v>500.0</v>
      </c>
      <c r="N25" s="1">
        <f t="shared" si="1"/>
        <v>17.8</v>
      </c>
    </row>
    <row r="26" ht="15.75" customHeight="1">
      <c r="A26" s="2" t="s">
        <v>61</v>
      </c>
      <c r="B26" s="2" t="s">
        <v>62</v>
      </c>
      <c r="C26" s="2">
        <v>12.0</v>
      </c>
      <c r="D26" s="2">
        <v>0.25</v>
      </c>
      <c r="E26" s="2">
        <v>-6.0</v>
      </c>
      <c r="F26" s="2">
        <v>-10.0</v>
      </c>
      <c r="M26" s="2">
        <v>550.0</v>
      </c>
      <c r="N26" s="1">
        <f t="shared" si="1"/>
        <v>17.8</v>
      </c>
    </row>
    <row r="27" ht="15.75" customHeight="1">
      <c r="A27" s="2" t="s">
        <v>63</v>
      </c>
      <c r="B27" s="2" t="s">
        <v>64</v>
      </c>
      <c r="C27" s="2">
        <v>10.0</v>
      </c>
      <c r="D27" s="2">
        <v>0.27</v>
      </c>
      <c r="E27" s="2">
        <v>-8.0</v>
      </c>
      <c r="F27" s="2">
        <v>-12.0</v>
      </c>
      <c r="M27" s="1">
        <v>700.0</v>
      </c>
      <c r="N27" s="1">
        <f t="shared" si="1"/>
        <v>18.2</v>
      </c>
    </row>
    <row r="28" ht="15.75" customHeight="1">
      <c r="A28" s="2" t="s">
        <v>65</v>
      </c>
      <c r="B28" s="2" t="s">
        <v>66</v>
      </c>
      <c r="C28" s="2">
        <v>9.0</v>
      </c>
      <c r="D28" s="2">
        <v>0.29</v>
      </c>
      <c r="E28" s="2">
        <v>-9.0</v>
      </c>
      <c r="F28" s="2">
        <v>-13.0</v>
      </c>
      <c r="M28" s="1">
        <v>1000.0</v>
      </c>
      <c r="N28" s="1">
        <f t="shared" si="1"/>
        <v>18.2</v>
      </c>
    </row>
    <row r="29" ht="15.75" customHeight="1">
      <c r="A29" s="2" t="s">
        <v>67</v>
      </c>
      <c r="B29" s="2" t="s">
        <v>68</v>
      </c>
      <c r="C29" s="2">
        <v>6.0</v>
      </c>
      <c r="D29" s="2">
        <v>0.34</v>
      </c>
      <c r="E29" s="2">
        <v>-11.0</v>
      </c>
      <c r="F29" s="2">
        <v>-17.0</v>
      </c>
      <c r="M29" s="1">
        <v>1500.0</v>
      </c>
      <c r="N29" s="1">
        <f t="shared" si="1"/>
        <v>18.2</v>
      </c>
    </row>
    <row r="30" ht="15.75" customHeight="1">
      <c r="A30" s="2" t="s">
        <v>69</v>
      </c>
      <c r="B30" s="2" t="s">
        <v>70</v>
      </c>
      <c r="C30" s="2">
        <v>5.0</v>
      </c>
      <c r="D30" s="2">
        <v>0.36</v>
      </c>
      <c r="E30" s="2">
        <v>-12.0</v>
      </c>
      <c r="F30" s="2">
        <v>-18.0</v>
      </c>
      <c r="M30" s="1">
        <v>1650.0</v>
      </c>
      <c r="N30" s="1">
        <f t="shared" si="1"/>
        <v>18.2</v>
      </c>
    </row>
    <row r="31" ht="15.75" customHeight="1">
      <c r="A31" s="2" t="s">
        <v>71</v>
      </c>
      <c r="B31" s="2" t="s">
        <v>72</v>
      </c>
      <c r="C31" s="2">
        <v>9.0</v>
      </c>
      <c r="D31" s="2">
        <v>0.29</v>
      </c>
      <c r="E31" s="2">
        <v>-10.0</v>
      </c>
      <c r="F31" s="2">
        <v>-12.0</v>
      </c>
      <c r="M31" s="2">
        <v>1000.0</v>
      </c>
      <c r="N31" s="1">
        <f t="shared" si="1"/>
        <v>18.4</v>
      </c>
    </row>
    <row r="32" ht="15.75" customHeight="1">
      <c r="A32" s="2" t="s">
        <v>73</v>
      </c>
      <c r="B32" s="2" t="s">
        <v>74</v>
      </c>
      <c r="C32" s="2">
        <v>6.0</v>
      </c>
      <c r="D32" s="2">
        <v>0.36</v>
      </c>
      <c r="E32" s="2">
        <v>-12.0</v>
      </c>
      <c r="F32" s="2">
        <v>-16.0</v>
      </c>
      <c r="M32" s="2">
        <v>1200.0</v>
      </c>
      <c r="N32" s="1">
        <f t="shared" si="1"/>
        <v>18</v>
      </c>
    </row>
    <row r="33" ht="15.75" customHeight="1">
      <c r="A33" s="2" t="s">
        <v>75</v>
      </c>
      <c r="B33" s="2" t="s">
        <v>76</v>
      </c>
      <c r="C33" s="2">
        <v>11.0</v>
      </c>
      <c r="D33" s="2">
        <v>0.28</v>
      </c>
      <c r="E33" s="2">
        <v>-7.0</v>
      </c>
      <c r="F33" s="2">
        <v>-12.0</v>
      </c>
      <c r="M33" s="2">
        <v>950.0</v>
      </c>
      <c r="N33" s="1">
        <f t="shared" si="1"/>
        <v>18.2</v>
      </c>
    </row>
    <row r="34" ht="15.75" customHeight="1">
      <c r="A34" s="2" t="s">
        <v>77</v>
      </c>
      <c r="B34" s="2" t="s">
        <v>78</v>
      </c>
      <c r="C34" s="2">
        <v>8.0</v>
      </c>
      <c r="D34" s="2">
        <v>0.34</v>
      </c>
      <c r="E34" s="2">
        <v>-10.0</v>
      </c>
      <c r="F34" s="2">
        <v>-15.0</v>
      </c>
      <c r="M34" s="2">
        <v>900.0</v>
      </c>
      <c r="N34" s="1">
        <f t="shared" si="1"/>
        <v>18.2</v>
      </c>
    </row>
    <row r="35" ht="15.75" customHeight="1">
      <c r="A35" s="2" t="s">
        <v>79</v>
      </c>
      <c r="B35" s="2" t="s">
        <v>80</v>
      </c>
      <c r="C35" s="2">
        <v>14.0</v>
      </c>
      <c r="D35" s="2">
        <v>0.24</v>
      </c>
      <c r="E35" s="2">
        <v>-5.0</v>
      </c>
      <c r="F35" s="2">
        <v>-9.0</v>
      </c>
      <c r="M35" s="2">
        <v>800.0</v>
      </c>
      <c r="N35" s="1">
        <f t="shared" si="1"/>
        <v>18.6</v>
      </c>
    </row>
    <row r="36" ht="15.75" customHeight="1">
      <c r="A36" s="2" t="s">
        <v>81</v>
      </c>
      <c r="B36" s="2" t="s">
        <v>82</v>
      </c>
      <c r="C36" s="2">
        <v>12.0</v>
      </c>
      <c r="D36" s="2">
        <v>0.28</v>
      </c>
      <c r="E36" s="2">
        <v>-9.0</v>
      </c>
      <c r="F36" s="2">
        <v>-11.0</v>
      </c>
      <c r="M36" s="2">
        <v>1500.0</v>
      </c>
      <c r="N36" s="1">
        <f t="shared" si="1"/>
        <v>20.2</v>
      </c>
    </row>
    <row r="37" ht="15.75" customHeight="1">
      <c r="A37" s="2" t="s">
        <v>83</v>
      </c>
      <c r="B37" s="2" t="s">
        <v>84</v>
      </c>
      <c r="C37" s="2">
        <v>12.0</v>
      </c>
      <c r="D37" s="2">
        <v>0.24</v>
      </c>
      <c r="E37" s="2">
        <v>-8.0</v>
      </c>
      <c r="F37" s="2">
        <v>-10.0</v>
      </c>
      <c r="M37" s="2">
        <v>1100.0</v>
      </c>
      <c r="N37" s="1">
        <f t="shared" si="1"/>
        <v>19.6</v>
      </c>
    </row>
    <row r="38" ht="15.75" customHeight="1">
      <c r="A38" s="2" t="s">
        <v>85</v>
      </c>
      <c r="B38" s="2" t="s">
        <v>86</v>
      </c>
      <c r="C38" s="2">
        <v>15.0</v>
      </c>
      <c r="D38" s="2">
        <v>0.2</v>
      </c>
      <c r="E38" s="2">
        <v>-6.0</v>
      </c>
      <c r="F38" s="2">
        <v>-5.0</v>
      </c>
      <c r="M38" s="2">
        <v>700.0</v>
      </c>
      <c r="N38" s="1">
        <f t="shared" si="1"/>
        <v>18.8</v>
      </c>
    </row>
    <row r="39" ht="15.75" customHeight="1">
      <c r="A39" s="2" t="s">
        <v>87</v>
      </c>
      <c r="B39" s="2" t="s">
        <v>88</v>
      </c>
      <c r="C39" s="2">
        <v>13.0</v>
      </c>
      <c r="D39" s="2">
        <v>0.25</v>
      </c>
      <c r="E39" s="2">
        <v>-8.0</v>
      </c>
      <c r="F39" s="2">
        <v>-7.0</v>
      </c>
      <c r="M39" s="2">
        <v>750.0</v>
      </c>
      <c r="N39" s="1">
        <f t="shared" si="1"/>
        <v>18.6</v>
      </c>
    </row>
    <row r="40" ht="15.75" customHeight="1">
      <c r="A40" s="2" t="s">
        <v>89</v>
      </c>
      <c r="B40" s="2" t="s">
        <v>90</v>
      </c>
      <c r="C40" s="2">
        <v>11.0</v>
      </c>
      <c r="D40" s="2">
        <v>0.28</v>
      </c>
      <c r="E40" s="2">
        <v>-10.0</v>
      </c>
      <c r="F40" s="2">
        <v>-9.0</v>
      </c>
      <c r="M40" s="2">
        <v>800.0</v>
      </c>
      <c r="N40" s="1">
        <f t="shared" si="1"/>
        <v>18.8</v>
      </c>
    </row>
    <row r="41" ht="15.75" customHeight="1">
      <c r="A41" s="2" t="s">
        <v>91</v>
      </c>
      <c r="B41" s="2" t="s">
        <v>92</v>
      </c>
      <c r="C41" s="2">
        <v>9.0</v>
      </c>
      <c r="D41" s="2">
        <v>0.33</v>
      </c>
      <c r="E41" s="2">
        <v>-12.0</v>
      </c>
      <c r="F41" s="2">
        <v>-11.0</v>
      </c>
      <c r="M41" s="2">
        <v>900.0</v>
      </c>
      <c r="N41" s="1">
        <f t="shared" si="1"/>
        <v>18.6</v>
      </c>
    </row>
    <row r="42" ht="15.75" customHeight="1">
      <c r="A42" s="2" t="s">
        <v>93</v>
      </c>
      <c r="B42" s="2" t="s">
        <v>94</v>
      </c>
      <c r="C42" s="2">
        <v>10.0</v>
      </c>
      <c r="D42" s="2">
        <v>0.31</v>
      </c>
      <c r="E42" s="2">
        <v>-12.0</v>
      </c>
      <c r="F42" s="2">
        <v>-10.0</v>
      </c>
      <c r="M42" s="2">
        <v>1100.0</v>
      </c>
      <c r="N42" s="1">
        <f t="shared" si="1"/>
        <v>19.4</v>
      </c>
    </row>
    <row r="43" ht="15.75" customHeight="1">
      <c r="A43" s="2" t="s">
        <v>95</v>
      </c>
      <c r="B43" s="2" t="s">
        <v>96</v>
      </c>
      <c r="C43" s="2">
        <v>11.0</v>
      </c>
      <c r="D43" s="2">
        <v>0.26</v>
      </c>
      <c r="E43" s="2">
        <v>-11.0</v>
      </c>
      <c r="F43" s="2">
        <v>-8.0</v>
      </c>
      <c r="M43" s="2">
        <v>1000.0</v>
      </c>
      <c r="N43" s="1">
        <f t="shared" si="1"/>
        <v>19.4</v>
      </c>
    </row>
    <row r="44" ht="15.75" customHeight="1">
      <c r="A44" s="2" t="s">
        <v>97</v>
      </c>
      <c r="B44" s="2" t="s">
        <v>98</v>
      </c>
      <c r="C44" s="2">
        <v>10.0</v>
      </c>
      <c r="D44" s="2">
        <v>0.29</v>
      </c>
      <c r="E44" s="2">
        <v>-12.0</v>
      </c>
      <c r="F44" s="2">
        <v>-9.0</v>
      </c>
      <c r="M44" s="2">
        <v>1050.0</v>
      </c>
      <c r="N44" s="1">
        <f t="shared" si="1"/>
        <v>19.2</v>
      </c>
    </row>
    <row r="45" ht="15.75" customHeight="1">
      <c r="A45" s="2" t="s">
        <v>99</v>
      </c>
      <c r="B45" s="2" t="s">
        <v>100</v>
      </c>
      <c r="C45" s="2">
        <v>8.0</v>
      </c>
      <c r="D45" s="2">
        <v>0.33</v>
      </c>
      <c r="E45" s="2">
        <v>-13.0</v>
      </c>
      <c r="F45" s="2">
        <v>-12.0</v>
      </c>
      <c r="M45" s="2">
        <v>1100.0</v>
      </c>
      <c r="N45" s="1">
        <f t="shared" si="1"/>
        <v>19</v>
      </c>
    </row>
    <row r="46" ht="15.75" customHeight="1">
      <c r="A46" s="2" t="s">
        <v>101</v>
      </c>
      <c r="B46" s="2" t="s">
        <v>102</v>
      </c>
      <c r="C46" s="2">
        <v>7.0</v>
      </c>
      <c r="D46" s="2">
        <v>0.36</v>
      </c>
      <c r="E46" s="2">
        <v>-15.0</v>
      </c>
      <c r="F46" s="2">
        <v>-12.0</v>
      </c>
      <c r="M46" s="2">
        <v>1200.0</v>
      </c>
      <c r="N46" s="1">
        <f t="shared" si="1"/>
        <v>19</v>
      </c>
    </row>
    <row r="47" ht="15.75" customHeight="1">
      <c r="A47" s="2" t="s">
        <v>103</v>
      </c>
      <c r="B47" s="2" t="s">
        <v>104</v>
      </c>
      <c r="C47" s="2">
        <v>9.0</v>
      </c>
      <c r="D47" s="2">
        <v>0.33</v>
      </c>
      <c r="E47" s="2">
        <v>-10.0</v>
      </c>
      <c r="F47" s="2">
        <v>-15.0</v>
      </c>
      <c r="M47" s="2">
        <v>1500.0</v>
      </c>
      <c r="N47" s="1">
        <f t="shared" si="1"/>
        <v>19.4</v>
      </c>
    </row>
    <row r="48" ht="15.75" customHeight="1">
      <c r="A48" s="2" t="s">
        <v>105</v>
      </c>
      <c r="B48" s="2" t="s">
        <v>106</v>
      </c>
      <c r="C48" s="2">
        <v>13.0</v>
      </c>
      <c r="D48" s="2">
        <v>0.24</v>
      </c>
      <c r="E48" s="2">
        <v>-7.0</v>
      </c>
      <c r="F48" s="2">
        <v>-9.0</v>
      </c>
      <c r="M48" s="2">
        <v>1100.0</v>
      </c>
      <c r="N48" s="1">
        <f t="shared" si="1"/>
        <v>19.2</v>
      </c>
    </row>
    <row r="49" ht="15.75" customHeight="1">
      <c r="A49" s="2" t="s">
        <v>107</v>
      </c>
      <c r="B49" s="2" t="s">
        <v>108</v>
      </c>
      <c r="C49" s="2">
        <v>11.0</v>
      </c>
      <c r="D49" s="2">
        <v>0.28</v>
      </c>
      <c r="E49" s="2">
        <v>-9.0</v>
      </c>
      <c r="F49" s="2">
        <v>-11.0</v>
      </c>
      <c r="M49" s="2">
        <v>1150.0</v>
      </c>
      <c r="N49" s="1">
        <f t="shared" si="1"/>
        <v>19.2</v>
      </c>
    </row>
    <row r="50" ht="15.75" customHeight="1">
      <c r="A50" s="2" t="s">
        <v>109</v>
      </c>
      <c r="B50" s="2" t="s">
        <v>110</v>
      </c>
      <c r="C50" s="2">
        <v>9.0</v>
      </c>
      <c r="D50" s="2">
        <v>0.32</v>
      </c>
      <c r="E50" s="2">
        <v>-11.0</v>
      </c>
      <c r="F50" s="2">
        <v>-13.0</v>
      </c>
      <c r="M50" s="2">
        <v>1250.0</v>
      </c>
      <c r="N50" s="1">
        <f t="shared" si="1"/>
        <v>19.2</v>
      </c>
    </row>
    <row r="51" ht="15.75" customHeight="1">
      <c r="A51" s="2" t="s">
        <v>111</v>
      </c>
      <c r="B51" s="2" t="s">
        <v>112</v>
      </c>
      <c r="C51" s="2">
        <v>8.0</v>
      </c>
      <c r="D51" s="2">
        <v>0.35</v>
      </c>
      <c r="E51" s="2">
        <v>-12.0</v>
      </c>
      <c r="F51" s="2">
        <v>-14.0</v>
      </c>
      <c r="M51" s="2">
        <v>1300.0</v>
      </c>
      <c r="N51" s="1">
        <f t="shared" si="1"/>
        <v>19</v>
      </c>
    </row>
    <row r="52" ht="15.75" customHeight="1">
      <c r="A52" s="2" t="s">
        <v>113</v>
      </c>
      <c r="B52" s="2" t="s">
        <v>114</v>
      </c>
      <c r="C52" s="2">
        <v>14.0</v>
      </c>
      <c r="D52" s="2">
        <v>0.24</v>
      </c>
      <c r="E52" s="2">
        <v>-5.0</v>
      </c>
      <c r="F52" s="2">
        <v>-10.0</v>
      </c>
      <c r="M52" s="2">
        <v>1300.0</v>
      </c>
      <c r="N52" s="1">
        <f t="shared" si="1"/>
        <v>19.2</v>
      </c>
    </row>
    <row r="53" ht="15.75" customHeight="1">
      <c r="A53" s="2" t="s">
        <v>115</v>
      </c>
      <c r="B53" s="2" t="s">
        <v>116</v>
      </c>
      <c r="C53" s="2">
        <v>12.0</v>
      </c>
      <c r="D53" s="2">
        <v>0.27</v>
      </c>
      <c r="E53" s="2">
        <v>-6.0</v>
      </c>
      <c r="F53" s="2">
        <v>-13.0</v>
      </c>
      <c r="M53" s="2">
        <v>1350.0</v>
      </c>
      <c r="N53" s="1">
        <f t="shared" si="1"/>
        <v>19.2</v>
      </c>
    </row>
    <row r="54" ht="15.75" customHeight="1">
      <c r="A54" s="2" t="s">
        <v>117</v>
      </c>
      <c r="B54" s="2" t="s">
        <v>118</v>
      </c>
      <c r="C54" s="2">
        <v>11.0</v>
      </c>
      <c r="D54" s="2">
        <v>0.3</v>
      </c>
      <c r="E54" s="2">
        <v>-7.0</v>
      </c>
      <c r="F54" s="2">
        <v>-15.0</v>
      </c>
      <c r="M54" s="2">
        <v>1400.0</v>
      </c>
      <c r="N54" s="1">
        <f t="shared" si="1"/>
        <v>19.6</v>
      </c>
    </row>
    <row r="55" ht="15.75" customHeight="1">
      <c r="A55" s="2" t="s">
        <v>119</v>
      </c>
      <c r="B55" s="2" t="s">
        <v>120</v>
      </c>
      <c r="C55" s="2">
        <v>9.0</v>
      </c>
      <c r="D55" s="2">
        <v>0.34</v>
      </c>
      <c r="E55" s="2">
        <v>-9.0</v>
      </c>
      <c r="F55" s="2">
        <v>-17.0</v>
      </c>
      <c r="M55" s="2">
        <v>1450.0</v>
      </c>
      <c r="N55" s="1">
        <f t="shared" si="1"/>
        <v>19.6</v>
      </c>
    </row>
    <row r="56" ht="15.75" customHeight="1">
      <c r="A56" s="2" t="s">
        <v>121</v>
      </c>
      <c r="B56" s="2" t="s">
        <v>122</v>
      </c>
      <c r="C56" s="2">
        <v>7.0</v>
      </c>
      <c r="D56" s="2">
        <v>0.38</v>
      </c>
      <c r="E56" s="2">
        <v>-11.0</v>
      </c>
      <c r="F56" s="2">
        <v>-18.0</v>
      </c>
      <c r="M56" s="2">
        <v>1500.0</v>
      </c>
      <c r="N56" s="1">
        <f t="shared" si="1"/>
        <v>19</v>
      </c>
    </row>
    <row r="57" ht="15.75" customHeight="1">
      <c r="A57" s="2" t="s">
        <v>123</v>
      </c>
      <c r="B57" s="2" t="s">
        <v>124</v>
      </c>
      <c r="C57" s="2">
        <v>5.0</v>
      </c>
      <c r="D57" s="2">
        <v>0.42</v>
      </c>
      <c r="E57" s="2">
        <v>-12.0</v>
      </c>
      <c r="F57" s="2">
        <v>-20.0</v>
      </c>
      <c r="M57" s="2">
        <v>1600.0</v>
      </c>
      <c r="N57" s="1">
        <f t="shared" si="1"/>
        <v>18.2</v>
      </c>
    </row>
    <row r="58" ht="15.75" customHeight="1">
      <c r="N58" s="1">
        <f t="shared" si="1"/>
        <v>0</v>
      </c>
    </row>
    <row r="59" ht="15.75" customHeight="1">
      <c r="A59" s="2" t="s">
        <v>125</v>
      </c>
      <c r="B59" s="2" t="s">
        <v>126</v>
      </c>
      <c r="C59" s="2">
        <v>-1.0</v>
      </c>
      <c r="D59" s="2">
        <v>0.1</v>
      </c>
      <c r="E59" s="2">
        <v>2.0</v>
      </c>
      <c r="F59" s="2">
        <v>2.0</v>
      </c>
      <c r="M59" s="2">
        <v>0.0</v>
      </c>
      <c r="N59" s="1">
        <f t="shared" si="1"/>
        <v>-5.8</v>
      </c>
    </row>
    <row r="60" ht="15.75" customHeight="1">
      <c r="A60" s="2" t="s">
        <v>127</v>
      </c>
      <c r="B60" s="2" t="s">
        <v>128</v>
      </c>
      <c r="C60" s="2">
        <v>-1.0</v>
      </c>
      <c r="D60" s="2">
        <v>0.04</v>
      </c>
      <c r="E60" s="2">
        <v>2.0</v>
      </c>
      <c r="F60" s="2">
        <v>2.0</v>
      </c>
      <c r="M60" s="2">
        <v>0.0</v>
      </c>
      <c r="N60" s="1">
        <f t="shared" si="1"/>
        <v>-4.6</v>
      </c>
    </row>
    <row r="61" ht="15.75" customHeight="1">
      <c r="A61" s="2" t="s">
        <v>129</v>
      </c>
      <c r="B61" s="2" t="s">
        <v>126</v>
      </c>
      <c r="C61" s="2">
        <v>-1.0</v>
      </c>
      <c r="D61" s="2">
        <v>0.1</v>
      </c>
      <c r="M61" s="2">
        <v>0.0</v>
      </c>
      <c r="N61" s="1">
        <f t="shared" si="1"/>
        <v>-3</v>
      </c>
    </row>
    <row r="62" ht="15.75" customHeight="1">
      <c r="A62" s="2" t="s">
        <v>130</v>
      </c>
      <c r="B62" s="2" t="s">
        <v>128</v>
      </c>
      <c r="C62" s="2">
        <v>-1.0</v>
      </c>
      <c r="D62" s="2">
        <v>0.04</v>
      </c>
      <c r="M62" s="2">
        <v>0.0</v>
      </c>
      <c r="N62" s="1">
        <f t="shared" si="1"/>
        <v>-1.8</v>
      </c>
    </row>
    <row r="63" ht="15.75" customHeight="1">
      <c r="A63" s="2" t="s">
        <v>131</v>
      </c>
      <c r="B63" s="2" t="s">
        <v>126</v>
      </c>
      <c r="C63" s="2">
        <v>-1.0</v>
      </c>
      <c r="D63" s="2">
        <v>0.1</v>
      </c>
      <c r="M63" s="2">
        <v>0.0</v>
      </c>
      <c r="N63" s="1">
        <f t="shared" si="1"/>
        <v>-3</v>
      </c>
    </row>
    <row r="64" ht="15.75" customHeight="1">
      <c r="N64" s="1">
        <f t="shared" si="1"/>
        <v>0</v>
      </c>
    </row>
    <row r="65" ht="15.75" customHeight="1">
      <c r="A65" s="2" t="s">
        <v>132</v>
      </c>
      <c r="B65" s="2" t="s">
        <v>133</v>
      </c>
      <c r="C65" s="2">
        <v>-3.0</v>
      </c>
      <c r="D65" s="2">
        <v>0.06</v>
      </c>
      <c r="E65" s="2">
        <v>2.0</v>
      </c>
      <c r="F65" s="2">
        <v>2.0</v>
      </c>
      <c r="M65" s="2">
        <v>400.0</v>
      </c>
      <c r="N65" s="1">
        <f t="shared" si="1"/>
        <v>-7</v>
      </c>
    </row>
    <row r="66" ht="15.75" customHeight="1">
      <c r="A66" s="2" t="s">
        <v>134</v>
      </c>
      <c r="B66" s="2" t="s">
        <v>135</v>
      </c>
      <c r="C66" s="2">
        <v>-2.0</v>
      </c>
      <c r="D66" s="2">
        <v>0.07</v>
      </c>
      <c r="E66" s="2">
        <v>1.0</v>
      </c>
      <c r="F66" s="2">
        <v>5.0</v>
      </c>
      <c r="M66" s="2">
        <v>300.0</v>
      </c>
      <c r="N66" s="1">
        <f t="shared" si="1"/>
        <v>-7.2</v>
      </c>
    </row>
    <row r="67" ht="15.75" customHeight="1">
      <c r="A67" s="2" t="s">
        <v>136</v>
      </c>
      <c r="B67" s="2" t="s">
        <v>133</v>
      </c>
      <c r="C67" s="2">
        <v>-3.0</v>
      </c>
      <c r="D67" s="2">
        <v>0.06</v>
      </c>
      <c r="M67" s="2">
        <v>400.0</v>
      </c>
      <c r="N67" s="1">
        <f t="shared" si="1"/>
        <v>-4.2</v>
      </c>
    </row>
    <row r="68" ht="15.75" customHeight="1">
      <c r="A68" s="2" t="s">
        <v>137</v>
      </c>
      <c r="B68" s="2" t="s">
        <v>135</v>
      </c>
      <c r="C68" s="2">
        <v>-2.0</v>
      </c>
      <c r="D68" s="2">
        <v>0.07</v>
      </c>
      <c r="M68" s="2">
        <v>300.0</v>
      </c>
      <c r="N68" s="1">
        <f t="shared" si="1"/>
        <v>-3.4</v>
      </c>
    </row>
    <row r="69" ht="15.75" customHeight="1">
      <c r="N69" s="1">
        <f t="shared" si="1"/>
        <v>0</v>
      </c>
    </row>
    <row r="70" ht="15.75" customHeight="1">
      <c r="A70" s="2" t="s">
        <v>138</v>
      </c>
      <c r="B70" s="2" t="s">
        <v>139</v>
      </c>
      <c r="C70" s="2">
        <v>-2.0</v>
      </c>
      <c r="D70" s="2">
        <v>0.07</v>
      </c>
      <c r="M70" s="2">
        <v>700.0</v>
      </c>
      <c r="N70" s="1">
        <f t="shared" si="1"/>
        <v>-3.4</v>
      </c>
    </row>
    <row r="71" ht="15.75" customHeight="1">
      <c r="A71" s="2" t="s">
        <v>140</v>
      </c>
      <c r="B71" s="2" t="s">
        <v>139</v>
      </c>
      <c r="C71" s="2">
        <v>-2.0</v>
      </c>
      <c r="D71" s="2">
        <v>0.07</v>
      </c>
      <c r="M71" s="2">
        <v>700.0</v>
      </c>
      <c r="N71" s="1">
        <f t="shared" si="1"/>
        <v>-3.4</v>
      </c>
    </row>
    <row r="72" ht="15.75" customHeight="1">
      <c r="A72" s="2" t="s">
        <v>141</v>
      </c>
      <c r="B72" s="2" t="s">
        <v>142</v>
      </c>
      <c r="C72" s="2">
        <v>-1.0</v>
      </c>
      <c r="D72" s="2">
        <v>0.04</v>
      </c>
      <c r="M72" s="2">
        <v>300.0</v>
      </c>
      <c r="N72" s="1">
        <f t="shared" si="1"/>
        <v>-1.8</v>
      </c>
    </row>
    <row r="73" ht="15.75" customHeight="1">
      <c r="A73" s="2" t="s">
        <v>143</v>
      </c>
      <c r="B73" s="2" t="s">
        <v>142</v>
      </c>
      <c r="C73" s="2">
        <v>-1.0</v>
      </c>
      <c r="D73" s="2">
        <v>0.04</v>
      </c>
      <c r="M73" s="2">
        <v>300.0</v>
      </c>
      <c r="N73" s="1">
        <f t="shared" si="1"/>
        <v>-1.8</v>
      </c>
    </row>
    <row r="74" ht="15.75" customHeight="1"/>
    <row r="75">
      <c r="A75" s="3" t="s">
        <v>144</v>
      </c>
      <c r="B75" s="4" t="s">
        <v>145</v>
      </c>
      <c r="M75" s="2">
        <v>0.0</v>
      </c>
      <c r="N75" s="1">
        <f t="shared" ref="N75:N76" si="2">C75-D75*20-E75*0.8-F75*0.6-H75*5+I75*10+J75/300</f>
        <v>0</v>
      </c>
    </row>
    <row r="76">
      <c r="A76" s="3" t="s">
        <v>146</v>
      </c>
      <c r="B76" s="4" t="s">
        <v>147</v>
      </c>
      <c r="M76" s="2">
        <v>0.0</v>
      </c>
      <c r="N76" s="1">
        <f t="shared" si="2"/>
        <v>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2024-08-19T23:38:21Z</dcterms:created>
</cp:coreProperties>
</file>