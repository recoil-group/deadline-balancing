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14d27e65143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4-barrels" sheetId="1" r:id="Rdbf7f68658854209"/>
  </x:sheets>
</x:workbook>
</file>

<file path=xl/sharedStrings.xml><?xml version="1.0" encoding="utf-8"?>
<x:sst xmlns:x="http://schemas.openxmlformats.org/spreadsheetml/2006/main">
  <x:si>
    <x:t xml:space="preserve">new</x:t>
  </x:si>
  <x:si>
    <x:t xml:space="preserve">name</x:t>
  </x:si>
  <x:si>
    <x:t xml:space="preserve">pretty_name</x:t>
  </x:si>
  <x:si>
    <x:t xml:space="preserve">ergonomics</x:t>
  </x:si>
  <x:si>
    <x:t xml:space="preserve">weight</x:t>
  </x:si>
  <x:si>
    <x:t xml:space="preserve">horizontal_recoil</x:t>
  </x:si>
  <x:si>
    <x:t xml:space="preserve">vertical_recoil</x:t>
  </x:si>
  <x:si>
    <x:t xml:space="preserve">magazine_capacity</x:t>
  </x:si>
  <x:si>
    <x:t xml:space="preserve">barrel_deviation</x:t>
  </x:si>
  <x:si>
    <x:t xml:space="preserve">bullet_damage</x:t>
  </x:si>
  <x:si>
    <x:t xml:space="preserve">bullet_velocity</x:t>
  </x:si>
  <x:si>
    <x:t xml:space="preserve">buck_barrel_deviation</x:t>
  </x:si>
  <x:si>
    <x:t xml:space="preserve">fire_rate</x:t>
  </x:si>
  <x:si>
    <x:t xml:space="preserve">price</x:t>
  </x:si>
  <x:si>
    <x:t xml:space="preserve">strength</x:t>
  </x:si>
  <x:si>
    <x:t xml:space="preserve">hart_m4_std_carbine_plastic_handguard</x:t>
  </x:si>
  <x:si>
    <x:t xml:space="preserve">Hart M4 Standard Carbine Length Plastic</x:t>
  </x:si>
  <x:si>
    <x:t xml:space="preserve">hart_a2_std_rifle_plastic_handguard</x:t>
  </x:si>
  <x:si>
    <x:t xml:space="preserve">Hart M16A2 Rifle Length Plastic</x:t>
  </x:si>
  <x:si>
    <x:t xml:space="preserve">usgi_m16a1_triangle_handguard</x:t>
  </x:si>
  <x:si>
    <x:t xml:space="preserve">USGI M16A1 Triangle</x:t>
  </x:si>
  <x:si>
    <x:t xml:space="preserve">hart_607_car15_triangle_7inch_handguard</x:t>
  </x:si>
  <x:si>
    <x:t xml:space="preserve">Hart 607 CAR-15 Triangle 7"</x:t>
  </x:si>
  <x:si>
    <x:t xml:space="preserve">calsport_lvoa_s_13.5inch_handguard</x:t>
  </x:si>
  <x:si>
    <x:t xml:space="preserve">Cal Sport LVOA-S 13.5"</x:t>
  </x:si>
  <x:si>
    <x:t xml:space="preserve">calsport_lvoa_c_16.25inch_handguard</x:t>
  </x:si>
  <x:si>
    <x:t xml:space="preserve">Cal Sport LVOA-C 16.25"</x:t>
  </x:si>
  <x:si>
    <x:t xml:space="preserve">mk10_rl_handguard</x:t>
  </x:si>
  <x:si>
    <x:t xml:space="preserve">MK10RL</x:t>
  </x:si>
  <x:si>
    <x:t xml:space="preserve">ad_mk18_raf_2_9.55_handguard</x:t>
  </x:si>
  <x:si>
    <x:t xml:space="preserve">AD Mk18 RAF 2 9.55</x:t>
  </x:si>
  <x:si>
    <x:t xml:space="preserve">ad_mk18_fsp_raf_2_9.55_handguard</x:t>
  </x:si>
  <x:si>
    <x:t xml:space="preserve">AD MK18 FSP RAF 2 9.55</x:t>
  </x:si>
  <x:si>
    <x:t xml:space="preserve">ad_m4a1_raf_2_12.25_handguard</x:t>
  </x:si>
  <x:si>
    <x:t xml:space="preserve">AD M4A1 RAF 2 12.25</x:t>
  </x:si>
  <x:si>
    <x:t xml:space="preserve">ad_m4a1_fsp_raf_2_12.25_handguard</x:t>
  </x:si>
  <x:si>
    <x:t xml:space="preserve">AD M4A1 FSP RAF 2 12.25</x:t>
  </x:si>
  <x:si>
    <x:t xml:space="preserve">pac_ras_m4a1_handguard</x:t>
  </x:si>
  <x:si>
    <x:t xml:space="preserve">PAC RAS</x:t>
  </x:si>
  <x:si>
    <x:t xml:space="preserve">pac_m5_ras_lower_handguard</x:t>
  </x:si>
  <x:si>
    <x:t xml:space="preserve">PAC M5 RAS 11.5" Lower</x:t>
  </x:si>
  <x:si>
    <x:t xml:space="preserve">pac_m5_ras_upper_handguard</x:t>
  </x:si>
  <x:si>
    <x:t xml:space="preserve">PAC M5 RAS 11.5" Upper</x:t>
  </x:si>
  <x:si>
    <x:t xml:space="preserve">pac_mre_free_float_ras_rifle_12inch_handguard</x:t>
  </x:si>
  <x:si>
    <x:t xml:space="preserve">PAC MRE RAS Free Float 12"</x:t>
  </x:si>
  <x:si>
    <x:t xml:space="preserve">pac_mre_standard_front_filler_tube</x:t>
  </x:si>
  <x:si>
    <x:t xml:space="preserve">PAC MRE Standard Front Filler Tube</x:t>
  </x:si>
  <x:si>
    <x:t xml:space="preserve">pac_mre_railed_front_filler_tube</x:t>
  </x:si>
  <x:si>
    <x:t xml:space="preserve">PAC MRE Railed Front Filler Tube</x:t>
  </x:si>
  <x:si>
    <x:t xml:space="preserve">pac_free_float_ras_rifle_12inch_handguard</x:t>
  </x:si>
  <x:si>
    <x:t xml:space="preserve">PAC Free Float RAS Rifle 12"</x:t>
  </x:si>
  <x:si>
    <x:t xml:space="preserve">pac_free_float_ras_medium_long_10.375inch_handguard</x:t>
  </x:si>
  <x:si>
    <x:t xml:space="preserve">PAC Free Float RAS Medium Long 10.375"</x:t>
  </x:si>
  <x:si>
    <x:t xml:space="preserve">pac_free_float_ras_carbine_7inch_handguard</x:t>
  </x:si>
  <x:si>
    <x:t xml:space="preserve">PAC Free Float RAS Carbine 7"</x:t>
  </x:si>
  <x:si>
    <x:t xml:space="preserve">quix_tacticals_ar15_4inch_ultralight_mlok_freefloat_hg</x:t>
  </x:si>
  <x:si>
    <x:t xml:space="preserve">Quix Tacticals AR-15 Ultralight MLOK 4"</x:t>
  </x:si>
  <x:si>
    <x:t xml:space="preserve">magtap_moe_sl_carbine_handguard</x:t>
  </x:si>
  <x:si>
    <x:t xml:space="preserve">Magtap MOE SL Carbine-Length</x:t>
  </x:si>
  <x:si>
    <x:t xml:space="preserve">magtap_moe_sl_mid_handguard</x:t>
  </x:si>
  <x:si>
    <x:t xml:space="preserve">Magtap MOE SL Mid-Length</x:t>
  </x:si>
  <x:si>
    <x:t xml:space="preserve">monstrum_tactical_a_series_free_float_10inch_mlok_handguard</x:t>
  </x:si>
  <x:si>
    <x:t xml:space="preserve">Monstrum Tactical A Series Free Float 10" MLOK</x:t>
  </x:si>
  <x:si>
    <x:t xml:space="preserve">monstrum_tactical_a_series_free_float_12inch_mlok_handguard</x:t>
  </x:si>
  <x:si>
    <x:t xml:space="preserve">Monstrum Tactical A Series Free Float 12" MLOK</x:t>
  </x:si>
  <x:si>
    <x:t xml:space="preserve">monstrum_tactical_a_series_free_float_15inch_mlok_handguard</x:t>
  </x:si>
  <x:si>
    <x:t xml:space="preserve">Monstrum Tactical A Series Free Float 15" MLOK</x:t>
  </x:si>
  <x:si>
    <x:t xml:space="preserve">monstrum_tactical_a_series_free_float_16.5inch_mlok_handguard</x:t>
  </x:si>
  <x:si>
    <x:t xml:space="preserve">Monstrum Tactical A Series Free Float 16.5" MLOK</x:t>
  </x:si>
  <x:si>
    <x:t xml:space="preserve">sai_ar15_qd_10inch_handguard</x:t>
  </x:si>
  <x:si>
    <x:t xml:space="preserve">SAI AR-15 10" QD</x:t>
  </x:si>
  <x:si>
    <x:t xml:space="preserve">sai_ar15_qd_14.5inch_handguard</x:t>
  </x:si>
  <x:si>
    <x:t xml:space="preserve">SAI AR-15 14.5" QD</x:t>
  </x:si>
  <x:si>
    <x:t xml:space="preserve">stngr_lvnc_10i</x:t>
  </x:si>
  <x:si>
    <x:t xml:space="preserve">STRYKR Lvnc 10"</x:t>
  </x:si>
  <x:si>
    <x:t xml:space="preserve">stngr_hwk_15i</x:t>
  </x:si>
  <x:si>
    <x:t xml:space="preserve">STRYKR Hkw 15"</x:t>
  </x:si>
  <x:si>
    <x:t xml:space="preserve">aeroknox_ax15_10.5inch_handguard</x:t>
  </x:si>
  <x:si>
    <x:t xml:space="preserve">Arrow AX // 15 AR-15 10.5"</x:t>
  </x:si>
  <x:si>
    <x:t xml:space="preserve">ardian_weapons_ar15_model_1_m1curgh_10inch_handguard</x:t>
  </x:si>
  <x:si>
    <x:t xml:space="preserve">Ardian Weapons AR-15 Model 1 M1CURGH 10"</x:t>
  </x:si>
  <x:si>
    <x:t xml:space="preserve">nowa_n4_nsr_gen3_handguard_9.15inch</x:t>
  </x:si>
  <x:si>
    <x:t xml:space="preserve">Nowa N4 NSR Gen3 AR-15 9.15"</x:t>
  </x:si>
  <x:si>
    <x:t xml:space="preserve">freedom_arms_builder_series_gen1_7inch_handguard</x:t>
  </x:si>
  <x:si>
    <x:t xml:space="preserve">Freedom Arms Builder Series Gen 1 7"</x:t>
  </x:si>
  <x:si>
    <x:t xml:space="preserve">freedom_arms_builder_series_gen1_10inch_handguard</x:t>
  </x:si>
  <x:si>
    <x:t xml:space="preserve">Freedom Arms Builder Series Gen 1 10"</x:t>
  </x:si>
  <x:si>
    <x:t xml:space="preserve">freedom_arms_builder_series_gen1_12inch_handguard</x:t>
  </x:si>
  <x:si>
    <x:t xml:space="preserve">Freedom Arms Builder Series Gen 1 12"</x:t>
  </x:si>
  <x:si>
    <x:t xml:space="preserve">freedom_arms_builder_series_gen1_15inch_handguard</x:t>
  </x:si>
  <x:si>
    <x:t xml:space="preserve">Freedom Arms Builder Series Gen 1 15"</x:t>
  </x:si>
  <x:si>
    <x:t xml:space="preserve">schmidt_smr_mk4_federal_mlok_10inch</x:t>
  </x:si>
  <x:si>
    <x:t xml:space="preserve">Schmidt Super Modular Rail MK4 Federal M-LOK 10"</x:t>
  </x:si>
  <x:si>
    <x:t xml:space="preserve">schmidt_smr_mk16_mlok_urg_i_9.3inch</x:t>
  </x:si>
  <x:si>
    <x:t xml:space="preserve">Schmidt Super Modular Rail MK16 M-LOK URG-I 9.3"</x:t>
  </x:si>
  <x:si>
    <x:t xml:space="preserve">schmidt_smr_mk16_mlok_urg_i_10.5inch</x:t>
  </x:si>
  <x:si>
    <x:t xml:space="preserve">Schmidt Super Modular Rail MK16 M-LOK URG-I 10.5"</x:t>
  </x:si>
  <x:si>
    <x:t xml:space="preserve">schmidt_smr_mk16_mlok_urg_i_13.5inch</x:t>
  </x:si>
  <x:si>
    <x:t xml:space="preserve">Schmidt Super Modular Rail MK16 M-LOK URG-I 13.5"</x:t>
  </x:si>
  <x:si>
    <x:t xml:space="preserve">schmidt_smr_mk16_mlok_urg_i_15inch</x:t>
  </x:si>
  <x:si>
    <x:t xml:space="preserve">Schmidt Super Modular Rail MK16 M-LOK URG-I 15"</x:t>
  </x:si>
  <x:si>
    <x:t xml:space="preserve">pac_urx_6_mlok_13inch_handguard</x:t>
  </x:si>
  <x:si>
    <x:t xml:space="preserve">PAC URX 6 MLOK 13"</x:t>
  </x:si>
  <x:si>
    <x:t xml:space="preserve">pac_urx_4_mlok_8.5inch_handguard</x:t>
  </x:si>
  <x:si>
    <x:t xml:space="preserve">PAC URX 4 MLOK 8.5"</x:t>
  </x:si>
  <x:si>
    <x:t xml:space="preserve">pac_urx_4_mlok_10.75inch_handguard</x:t>
  </x:si>
  <x:si>
    <x:t xml:space="preserve">PAC URX 4 MLOK 10.75"</x:t>
  </x:si>
  <x:si>
    <x:t xml:space="preserve">pac_urx_4_mlok_13inch_handguard</x:t>
  </x:si>
  <x:si>
    <x:t xml:space="preserve">PAC URX 4 MLOK 13"</x:t>
  </x:si>
  <x:si>
    <x:t xml:space="preserve">pac_urx_4_mlok_14.5inch_handguard</x:t>
  </x:si>
  <x:si>
    <x:t xml:space="preserve">PAC URX 4 MLOK 14.5"</x:t>
  </x:si>
  <x:si>
    <x:t xml:space="preserve">northeast_industries_supp_series_sp7m_mlok_handguard</x:t>
  </x:si>
  <x:si>
    <x:t xml:space="preserve">Northeast Industries Suppressor Series SP7M MLOK 7.25"</x:t>
  </x:si>
  <x:si>
    <x:t xml:space="preserve">northeast_industries_supp_series_sp9m_mlok_handguard</x:t>
  </x:si>
  <x:si>
    <x:t xml:space="preserve">Northeast Industries Suppressor Series SP9M MLOK 9.25"</x:t>
  </x:si>
  <x:si>
    <x:t xml:space="preserve">northeast_industries_supp_series_sp10m_mlok_handguard</x:t>
  </x:si>
  <x:si>
    <x:t xml:space="preserve">Northeast Industries Suppressor Series SP10M MLOK 10.5"</x:t>
  </x:si>
  <x:si>
    <x:t xml:space="preserve">northeast_industries_supp_series_sp12m_mlok_handguard</x:t>
  </x:si>
  <x:si>
    <x:t xml:space="preserve">Northeast Industries Suppressor Series SP12M MLOK 12.625"</x:t>
  </x:si>
  <x:si>
    <x:t xml:space="preserve">northeast_industries_supp_series_sp15m_mlok_handguard</x:t>
  </x:si>
  <x:si>
    <x:t xml:space="preserve">Northeast Industries Suppressor Series SP15M MLOK 15"</x:t>
  </x:si>
  <x:si>
    <x:t xml:space="preserve">northeast_industries_supp_series_sp18m_mlok_handguard</x:t>
  </x:si>
  <x:si>
    <x:t xml:space="preserve">Northeast Industries Suppressor Series SP18M MLOK 18"</x:t>
  </x:si>
  <x:si>
    <x:t xml:space="preserve">mk10_bottom_adapter_large</x:t>
  </x:si>
  <x:si>
    <x:t xml:space="preserve">MK10RL Large</x:t>
  </x:si>
  <x:si>
    <x:t xml:space="preserve">mk10_bottom_adapter_small</x:t>
  </x:si>
  <x:si>
    <x:t xml:space="preserve">MK10RL Small</x:t>
  </x:si>
  <x:si>
    <x:t xml:space="preserve">mk10_side_adapter_large</x:t>
  </x:si>
  <x:si>
    <x:t xml:space="preserve">mk10_side_adapter_small</x:t>
  </x:si>
  <x:si>
    <x:t xml:space="preserve">mk10_top_adapter_large</x:t>
  </x:si>
  <x:si>
    <x:t xml:space="preserve">ad_m4a1_raf_3_9.5_handguard</x:t>
  </x:si>
  <x:si>
    <x:t xml:space="preserve">AD M4A1 RAF 3 9.5</x:t>
  </x:si>
  <x:si>
    <x:t xml:space="preserve">AD M4A1 RAF 3 10.5</x:t>
  </x:si>
  <x:si>
    <x:t xml:space="preserve">ad_m4a1_raf_3_12.5_handguard</x:t>
  </x:si>
  <x:si>
    <x:t xml:space="preserve">AD M4A1 RAF 3 12.5</x:t>
  </x:si>
  <x:si>
    <x:t xml:space="preserve">ad_m4a1_raf_3_13_fsp_handguard</x:t>
  </x:si>
  <x:si>
    <x:t xml:space="preserve">AD M4A1 RAF 3 13 FSP</x:t>
  </x:si>
</x:sst>
</file>

<file path=xl/styles.xml><?xml version="1.0" encoding="utf-8"?>
<x:styleSheet xmlns:x="http://schemas.openxmlformats.org/spreadsheetml/2006/main">
  <x:fonts count="18">
    <x:font>
      <x:sz val="11"/>
      <x:color theme="1"/>
      <x:name val="Calibri"/>
    </x:font>
    <x:font>
      <x:sz val="11"/>
      <x:color theme="1"/>
      <x:name val="Calibri"/>
    </x:font>
    <x:font>
      <x:sz val="18"/>
      <x:color theme="3"/>
      <x:name val="Calibri Light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5700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sz val="11"/>
      <x:color rgb="FFFA7D00"/>
      <x:name val="Calibri"/>
    </x:font>
    <x:font>
      <x:b/>
      <x:sz val="11"/>
      <x:color theme="0"/>
      <x:name val="Calibri"/>
    </x:font>
    <x:font>
      <x:sz val="11"/>
      <x:color rgb="FFFF0000"/>
      <x:name val="Calibri"/>
    </x:font>
    <x:font>
      <x:i/>
      <x:sz val="11"/>
      <x:color rgb="FF7F7F7F"/>
      <x:name val="Calibri"/>
    </x:font>
    <x:font>
      <x:b/>
      <x:sz val="11"/>
      <x:color theme="1"/>
      <x:name val="Calibri"/>
    </x:font>
    <x:font>
      <x:sz val="11"/>
      <x:color theme="0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00"/>
      </x:patternFill>
    </x:fill>
  </x:fills>
  <x:borders count="11">
    <x:border/>
    <x:border>
      <x:bottom style="thick">
        <x:color theme="4"/>
      </x:bottom>
    </x:border>
    <x:border>
      <x:bottom style="thick">
        <x:color theme="4" tint="0.49998"/>
      </x:bottom>
    </x:border>
    <x:border>
      <x:bottom style="medium">
        <x:color theme="4" tint="0.3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bottom style="double">
        <x:color rgb="FFFF8001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theme="4"/>
      </x:top>
      <x:bottom style="double">
        <x:color theme="4"/>
      </x:bottom>
    </x:border>
    <x:border>
      <x:top style="thin">
        <x:color theme="1"/>
      </x:top>
    </x:border>
  </x:borders>
  <x:cellStyleXfs count="42">
    <x:xf numFmtId="0" fontId="0" fillId="0" borderId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" fillId="32" borderId="0" applyNumberFormat="0" applyBorder="0" applyAlignment="0" applyProtection="0"/>
  </x:cellStyleXfs>
  <x:cellXfs count="3">
    <x:xf numFmtId="0" fontId="0" fillId="0" borderId="0" xfId="0"/>
    <x:xf numFmtId="0" fontId="0" fillId="33" borderId="0" xfId="0" applyFill="1"/>
    <x:xf numFmtId="0" fontId="0" fillId="33" borderId="10" xfId="0" applyFill="1" applyBorder="1"/>
  </x:cellXfs>
  <x:cellStyles count="42">
    <x:cellStyle name="20% - Accent1" xfId="19"/>
    <x:cellStyle name="20% - Accent2" xfId="23"/>
    <x:cellStyle name="20% - Accent3" xfId="27"/>
    <x:cellStyle name="20% - Accent4" xfId="31"/>
    <x:cellStyle name="20% - Accent5" xfId="35"/>
    <x:cellStyle name="20% - Accent6" xfId="39"/>
    <x:cellStyle name="40% - Accent1" xfId="20"/>
    <x:cellStyle name="40% - Accent2" xfId="24"/>
    <x:cellStyle name="40% - Accent3" xfId="28"/>
    <x:cellStyle name="40% - Accent4" xfId="32"/>
    <x:cellStyle name="40% - Accent5" xfId="36"/>
    <x:cellStyle name="40% - Accent6" xfId="40"/>
    <x:cellStyle name="60% - Accent1" xfId="21"/>
    <x:cellStyle name="60% - Accent2" xfId="25"/>
    <x:cellStyle name="60% - Accent3" xfId="29"/>
    <x:cellStyle name="60% - Accent4" xfId="33"/>
    <x:cellStyle name="60% - Accent5" xfId="37"/>
    <x:cellStyle name="60% - Accent6" xfId="41"/>
    <x:cellStyle name="Accent1" xfId="18"/>
    <x:cellStyle name="Accent2" xfId="22"/>
    <x:cellStyle name="Accent3" xfId="26"/>
    <x:cellStyle name="Accent4" xfId="30"/>
    <x:cellStyle name="Accent5" xfId="34"/>
    <x:cellStyle name="Accent6" xfId="38"/>
    <x:cellStyle name="Bad" xfId="7"/>
    <x:cellStyle name="Calculation" xfId="11"/>
    <x:cellStyle name="Check Cell" xfId="13"/>
    <x:cellStyle name="Explanatory Text" xfId="16"/>
    <x:cellStyle name="Good" xfId="6"/>
    <x:cellStyle name="Heading 1" xfId="2"/>
    <x:cellStyle name="Heading 2" xfId="3"/>
    <x:cellStyle name="Heading 3" xfId="4"/>
    <x:cellStyle name="Heading 4" xfId="5"/>
    <x:cellStyle name="Input" xfId="9"/>
    <x:cellStyle name="Linked Cell" xfId="12"/>
    <x:cellStyle name="Neutral" xfId="8"/>
    <x:cellStyle name="Normal" xfId="0"/>
    <x:cellStyle name="Note" xfId="15"/>
    <x:cellStyle name="Output" xfId="10"/>
    <x:cellStyle name="Title" xfId="1"/>
    <x:cellStyle name="Total" xfId="17"/>
    <x:cellStyle name="Warning Text" xfId="14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949ad696fc4f0c" /><Relationship Type="http://schemas.openxmlformats.org/officeDocument/2006/relationships/theme" Target="/xl/theme/theme1.xml" Id="R8be022399d8e4d28" /><Relationship Type="http://schemas.openxmlformats.org/officeDocument/2006/relationships/sharedStrings" Target="/xl/sharedStrings.xml" Id="R555aa097e5c048ff" /><Relationship Type="http://schemas.openxmlformats.org/officeDocument/2006/relationships/worksheet" Target="/xl/worksheets/sheet1.xml" Id="Rdbf7f68658854209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6640625" defaultRowHeight="14.399999618530273"/>
  <x:cols>
    <x:col min="1" max="1" width="13.6640625" customWidth="1"/>
    <x:col min="2" max="2" width="49" customWidth="1"/>
  </x:cols>
  <x:sheetData>
    <x:row r="1">
      <x:c r="C1" t="s">
        <x:v>0</x:v>
      </x:c>
    </x:row>
    <x:row r="2">
      <x:c r="A2" t="s">
        <x:v>1</x:v>
      </x:c>
      <x:c r="B2" t="s">
        <x:v>2</x:v>
      </x:c>
      <x:c r="C2" t="s">
        <x:v>3</x:v>
      </x:c>
      <x:c r="D2" t="s">
        <x:v>4</x:v>
      </x:c>
      <x:c r="E2" t="s">
        <x:v>5</x:v>
      </x:c>
      <x:c r="F2" t="s">
        <x:v>6</x:v>
      </x:c>
      <x:c r="G2" t="s">
        <x:v>7</x:v>
      </x:c>
      <x:c r="H2" t="s">
        <x:v>8</x:v>
      </x:c>
      <x:c r="I2" t="s">
        <x:v>9</x:v>
      </x:c>
      <x:c r="J2" t="s">
        <x:v>10</x:v>
      </x:c>
      <x:c r="K2" t="s">
        <x:v>11</x:v>
      </x:c>
      <x:c r="L2" t="s">
        <x:v>12</x:v>
      </x:c>
      <x:c r="M2" t="s">
        <x:v>13</x:v>
      </x:c>
      <x:c r="N2" t="s">
        <x:v>14</x:v>
      </x:c>
    </x:row>
    <x:row r="3">
      <x:c r="A3" t="s">
        <x:v>15</x:v>
      </x:c>
      <x:c r="B3" t="s">
        <x:v>16</x:v>
      </x:c>
      <x:c r="C3">
        <x:v>14</x:v>
      </x:c>
      <x:c r="D3">
        <x:v>0.2</x:v>
      </x:c>
      <x:c r="E3">
        <x:v>-10</x:v>
      </x:c>
      <x:c r="F3">
        <x:v>-10</x:v>
      </x:c>
      <x:c r="H3">
        <x:v>0.03</x:v>
      </x:c>
      <x:c r="M3">
        <x:v>0</x:v>
      </x:c>
      <x:c r="N3" t="n">
        <x:f t="shared" ref="N3:N23" si="0">C3-D3*20-E3*0.8-F3*0.6-H3*5+I3*10+J3/300</x:f>
        <x:v>23.85</x:v>
      </x:c>
    </x:row>
    <x:row r="4">
      <x:c r="A4" t="s">
        <x:v>17</x:v>
      </x:c>
      <x:c r="B4" t="s">
        <x:v>18</x:v>
      </x:c>
      <x:c r="C4">
        <x:v>12</x:v>
      </x:c>
      <x:c r="D4">
        <x:v>0.28999999999999998</x:v>
      </x:c>
      <x:c r="E4">
        <x:v>-11</x:v>
      </x:c>
      <x:c r="F4">
        <x:v>-16</x:v>
      </x:c>
      <x:c r="H4">
        <x:v>0.03</x:v>
      </x:c>
      <x:c r="M4">
        <x:v>500</x:v>
      </x:c>
      <x:c r="N4">
        <x:f t="shared" si="0"/>
        <x:v>24.450000000000003</x:v>
      </x:c>
    </x:row>
    <x:row r="5">
      <x:c r="A5" t="s">
        <x:v>19</x:v>
      </x:c>
      <x:c r="B5" t="s">
        <x:v>20</x:v>
      </x:c>
      <x:c r="C5">
        <x:v>13</x:v>
      </x:c>
      <x:c r="D5">
        <x:v>0.27</x:v>
      </x:c>
      <x:c r="E5">
        <x:v>-10</x:v>
      </x:c>
      <x:c r="F5">
        <x:v>-15</x:v>
      </x:c>
      <x:c r="H5">
        <x:v>0.03</x:v>
      </x:c>
      <x:c r="M5">
        <x:v>600</x:v>
      </x:c>
      <x:c r="N5">
        <x:f t="shared" si="0"/>
        <x:v>24.450000000000003</x:v>
      </x:c>
    </x:row>
    <x:row r="6">
      <x:c r="A6" t="s">
        <x:v>21</x:v>
      </x:c>
      <x:c r="B6" t="s">
        <x:v>22</x:v>
      </x:c>
      <x:c r="C6">
        <x:v>16</x:v>
      </x:c>
      <x:c r="D6">
        <x:v>0.19</x:v>
      </x:c>
      <x:c r="E6">
        <x:v>-8</x:v>
      </x:c>
      <x:c r="F6">
        <x:v>-10</x:v>
      </x:c>
      <x:c r="H6">
        <x:v>0.03</x:v>
      </x:c>
      <x:c r="M6">
        <x:v>550</x:v>
      </x:c>
      <x:c r="N6">
        <x:f t="shared" si="0"/>
        <x:v>24.450000000000003</x:v>
      </x:c>
    </x:row>
    <x:row r="7">
      <x:c r="A7" t="s">
        <x:v>23</x:v>
      </x:c>
      <x:c r="B7" t="s">
        <x:v>24</x:v>
      </x:c>
      <x:c r="C7">
        <x:v>9</x:v>
      </x:c>
      <x:c r="D7">
        <x:v>0.32</x:v>
      </x:c>
      <x:c r="E7">
        <x:v>-9</x:v>
      </x:c>
      <x:c r="F7">
        <x:v>-14</x:v>
      </x:c>
      <x:c r="M7">
        <x:v>900</x:v>
      </x:c>
      <x:c r="N7">
        <x:f t="shared" si="0"/>
        <x:v>18.200000000000003</x:v>
      </x:c>
    </x:row>
    <x:row r="8">
      <x:c r="A8" t="s">
        <x:v>25</x:v>
      </x:c>
      <x:c r="B8" t="s">
        <x:v>26</x:v>
      </x:c>
      <x:c r="C8">
        <x:v>7</x:v>
      </x:c>
      <x:c r="D8">
        <x:v>0.36</x:v>
      </x:c>
      <x:c r="E8">
        <x:v>-11</x:v>
      </x:c>
      <x:c r="F8">
        <x:v>-16</x:v>
      </x:c>
      <x:c r="M8">
        <x:v>950</x:v>
      </x:c>
      <x:c r="N8">
        <x:f t="shared" si="0"/>
        <x:v>18.200000000000003</x:v>
      </x:c>
    </x:row>
    <x:row r="9">
      <x:c r="A9" t="s">
        <x:v>27</x:v>
      </x:c>
      <x:c r="B9" t="s">
        <x:v>28</x:v>
      </x:c>
      <x:c r="C9">
        <x:v>13</x:v>
      </x:c>
      <x:c r="D9">
        <x:v>0.34</x:v>
      </x:c>
      <x:c r="E9">
        <x:v>-12</x:v>
      </x:c>
      <x:c r="F9">
        <x:v>-12</x:v>
      </x:c>
      <x:c r="M9">
        <x:v>1000</x:v>
      </x:c>
      <x:c r="N9">
        <x:f t="shared" si="0"/>
        <x:v>23</x:v>
      </x:c>
    </x:row>
    <x:row r="10">
      <x:c r="A10" s="1" t="s">
        <x:v>29</x:v>
      </x:c>
      <x:c r="B10" s="1" t="s">
        <x:v>30</x:v>
      </x:c>
      <x:c r="C10" s="1">
        <x:v>8</x:v>
      </x:c>
      <x:c r="D10" s="1">
        <x:v>0.3</x:v>
      </x:c>
      <x:c r="E10" s="1">
        <x:v>-11</x:v>
      </x:c>
      <x:c r="F10" s="1">
        <x:v>-14</x:v>
      </x:c>
      <x:c r="M10" s="1">
        <x:v>1000</x:v>
      </x:c>
      <x:c r="N10" s="1">
        <x:f t="shared" si="0"/>
        <x:v>19.200000000000003</x:v>
      </x:c>
    </x:row>
    <x:row r="11">
      <x:c r="A11" s="1" t="s">
        <x:v>31</x:v>
      </x:c>
      <x:c r="B11" s="1" t="s">
        <x:v>32</x:v>
      </x:c>
      <x:c r="C11" s="1">
        <x:v>8</x:v>
      </x:c>
      <x:c r="D11" s="1">
        <x:v>0.28000000000000003</x:v>
      </x:c>
      <x:c r="E11" s="1">
        <x:v>-11</x:v>
      </x:c>
      <x:c r="F11" s="1">
        <x:v>-13</x:v>
      </x:c>
      <x:c r="M11" s="1">
        <x:v>1000</x:v>
      </x:c>
      <x:c r="N11" s="1">
        <x:f t="shared" si="0"/>
        <x:v>19</x:v>
      </x:c>
    </x:row>
    <x:row r="12">
      <x:c r="A12" s="1" t="s">
        <x:v>33</x:v>
      </x:c>
      <x:c r="B12" s="1" t="s">
        <x:v>34</x:v>
      </x:c>
      <x:c r="C12" s="1">
        <x:v>6</x:v>
      </x:c>
      <x:c r="D12" s="1">
        <x:v>0.35</x:v>
      </x:c>
      <x:c r="E12" s="1">
        <x:v>-13</x:v>
      </x:c>
      <x:c r="F12" s="1">
        <x:v>-16</x:v>
      </x:c>
      <x:c r="M12" s="1">
        <x:v>1100</x:v>
      </x:c>
      <x:c r="N12" s="1">
        <x:f t="shared" si="0"/>
        <x:v>19</x:v>
      </x:c>
    </x:row>
    <x:row r="13">
      <x:c r="A13" s="1" t="s">
        <x:v>35</x:v>
      </x:c>
      <x:c r="B13" s="1" t="s">
        <x:v>36</x:v>
      </x:c>
      <x:c r="C13" s="1">
        <x:v>6</x:v>
      </x:c>
      <x:c r="D13" s="1">
        <x:v>0.33</x:v>
      </x:c>
      <x:c r="E13" s="1">
        <x:v>-13</x:v>
      </x:c>
      <x:c r="F13" s="1">
        <x:v>-15</x:v>
      </x:c>
      <x:c r="M13" s="1">
        <x:v>1100</x:v>
      </x:c>
      <x:c r="N13" s="1">
        <x:f t="shared" si="0"/>
        <x:v>18.8</x:v>
      </x:c>
    </x:row>
    <x:row r="14">
      <x:c r="A14" t="s">
        <x:v>37</x:v>
      </x:c>
      <x:c r="B14" t="s">
        <x:v>38</x:v>
      </x:c>
      <x:c r="C14">
        <x:v>10</x:v>
      </x:c>
      <x:c r="D14">
        <x:v>0.23</x:v>
      </x:c>
      <x:c r="E14">
        <x:v>-6</x:v>
      </x:c>
      <x:c r="F14">
        <x:v>-13</x:v>
      </x:c>
      <x:c r="H14">
        <x:v>0.03</x:v>
      </x:c>
      <x:c r="M14">
        <x:v>700</x:v>
      </x:c>
      <x:c r="N14">
        <x:f t="shared" si="0"/>
        <x:v>17.850000000000001</x:v>
      </x:c>
    </x:row>
    <x:row r="15">
      <x:c r="A15" t="s">
        <x:v>39</x:v>
      </x:c>
      <x:c r="B15" t="s">
        <x:v>40</x:v>
      </x:c>
      <x:c r="M15">
        <x:v>0</x:v>
      </x:c>
      <x:c r="N15">
        <x:f t="shared" si="0"/>
        <x:v>0</x:v>
      </x:c>
    </x:row>
    <x:row r="16">
      <x:c r="A16" t="s">
        <x:v>41</x:v>
      </x:c>
      <x:c r="B16" t="s">
        <x:v>42</x:v>
      </x:c>
      <x:c r="C16">
        <x:v>8</x:v>
      </x:c>
      <x:c r="D16">
        <x:v>0.34</x:v>
      </x:c>
      <x:c r="E16">
        <x:v>-13</x:v>
      </x:c>
      <x:c r="F16">
        <x:v>-13</x:v>
      </x:c>
      <x:c r="H16">
        <x:v>0.03</x:v>
      </x:c>
      <x:c r="M16">
        <x:v>1200</x:v>
      </x:c>
      <x:c r="N16">
        <x:f t="shared" si="0"/>
        <x:v>19.25</x:v>
      </x:c>
    </x:row>
    <x:row r="17">
      <x:c r="A17" t="s">
        <x:v>43</x:v>
      </x:c>
      <x:c r="B17" t="s">
        <x:v>44</x:v>
      </x:c>
      <x:c r="C17">
        <x:v>7</x:v>
      </x:c>
      <x:c r="D17">
        <x:v>0.27</x:v>
      </x:c>
      <x:c r="E17">
        <x:v>-11</x:v>
      </x:c>
      <x:c r="F17">
        <x:v>-14</x:v>
      </x:c>
      <x:c r="M17">
        <x:v>1400</x:v>
      </x:c>
      <x:c r="N17">
        <x:f t="shared" si="0"/>
        <x:v>18.8</x:v>
      </x:c>
    </x:row>
    <x:row r="18">
      <x:c r="A18" t="s">
        <x:v>45</x:v>
      </x:c>
      <x:c r="B18" t="s">
        <x:v>46</x:v>
      </x:c>
      <x:c r="C18">
        <x:v>1</x:v>
      </x:c>
      <x:c r="D18">
        <x:v>0.06</x:v>
      </x:c>
      <x:c r="M18">
        <x:v>0</x:v>
      </x:c>
      <x:c r="N18">
        <x:f t="shared" si="0"/>
        <x:v>-0.19999999999999996</x:v>
      </x:c>
    </x:row>
    <x:row r="19">
      <x:c r="A19" t="s">
        <x:v>47</x:v>
      </x:c>
      <x:c r="B19" t="s">
        <x:v>48</x:v>
      </x:c>
      <x:c r="C19">
        <x:v>1</x:v>
      </x:c>
      <x:c r="D19">
        <x:v>0.1</x:v>
      </x:c>
      <x:c r="F19">
        <x:v>-1</x:v>
      </x:c>
      <x:c r="M19">
        <x:v>500</x:v>
      </x:c>
      <x:c r="N19">
        <x:f t="shared" si="0"/>
        <x:v>-0.4</x:v>
      </x:c>
    </x:row>
    <x:row r="20">
      <x:c r="A20" t="s">
        <x:v>49</x:v>
      </x:c>
      <x:c r="B20" t="s">
        <x:v>50</x:v>
      </x:c>
      <x:c r="C20">
        <x:v>7</x:v>
      </x:c>
      <x:c r="D20">
        <x:v>0.33</x:v>
      </x:c>
      <x:c r="E20">
        <x:v>-10</x:v>
      </x:c>
      <x:c r="F20">
        <x:v>-17</x:v>
      </x:c>
      <x:c r="M20">
        <x:v>900</x:v>
      </x:c>
      <x:c r="N20">
        <x:f t="shared" si="0"/>
        <x:v>18.599999999999998</x:v>
      </x:c>
    </x:row>
    <x:row r="21">
      <x:c r="A21" t="s">
        <x:v>51</x:v>
      </x:c>
      <x:c r="B21" t="s">
        <x:v>52</x:v>
      </x:c>
      <x:c r="C21">
        <x:v>9</x:v>
      </x:c>
      <x:c r="D21">
        <x:v>0.28000000000000003</x:v>
      </x:c>
      <x:c r="E21">
        <x:v>-8</x:v>
      </x:c>
      <x:c r="F21">
        <x:v>-15</x:v>
      </x:c>
      <x:c r="M21">
        <x:v>1200</x:v>
      </x:c>
      <x:c r="N21">
        <x:f t="shared" si="0"/>
        <x:v>18.8</x:v>
      </x:c>
    </x:row>
    <x:row r="22">
      <x:c r="A22" t="s">
        <x:v>53</x:v>
      </x:c>
      <x:c r="B22" t="s">
        <x:v>54</x:v>
      </x:c>
      <x:c r="C22">
        <x:v>11</x:v>
      </x:c>
      <x:c r="D22">
        <x:v>0.21</x:v>
      </x:c>
      <x:c r="E22">
        <x:v>-5</x:v>
      </x:c>
      <x:c r="F22">
        <x:v>-12</x:v>
      </x:c>
      <x:c r="M22">
        <x:v>750</x:v>
      </x:c>
      <x:c r="N22">
        <x:f t="shared" si="0"/>
        <x:v>18</x:v>
      </x:c>
    </x:row>
    <x:row r="23">
      <x:c r="A23" t="s">
        <x:v>55</x:v>
      </x:c>
      <x:c r="B23" t="s">
        <x:v>56</x:v>
      </x:c>
      <x:c r="C23">
        <x:v>14</x:v>
      </x:c>
      <x:c r="D23">
        <x:v>0.13</x:v>
      </x:c>
      <x:c r="E23">
        <x:v>-2</x:v>
      </x:c>
      <x:c r="F23">
        <x:v>-5</x:v>
      </x:c>
      <x:c r="M23">
        <x:v>700</x:v>
      </x:c>
      <x:c r="N23">
        <x:f t="shared" si="0"/>
        <x:v>16</x:v>
      </x:c>
    </x:row>
    <x:row r="24">
      <x:c r="A24" t="s">
        <x:v>57</x:v>
      </x:c>
      <x:c r="B24" t="s">
        <x:v>58</x:v>
      </x:c>
      <x:c r="C24">
        <x:v>14</x:v>
      </x:c>
      <x:c r="D24">
        <x:v>0.21</x:v>
      </x:c>
      <x:c r="E24">
        <x:v>-4</x:v>
      </x:c>
      <x:c r="F24">
        <x:v>-8</x:v>
      </x:c>
      <x:c r="M24">
        <x:v>500</x:v>
      </x:c>
      <x:c r="N24" t="n">
        <x:f>C24-D24*20-E24*0.8-F24*0.6-H24*5+I24*10+J24/300</x:f>
        <x:v>17.8</x:v>
      </x:c>
    </x:row>
    <x:row r="25">
      <x:c r="A25" t="s">
        <x:v>59</x:v>
      </x:c>
      <x:c r="B25" t="s">
        <x:v>60</x:v>
      </x:c>
      <x:c r="C25">
        <x:v>12</x:v>
      </x:c>
      <x:c r="D25">
        <x:v>0.25</x:v>
      </x:c>
      <x:c r="E25">
        <x:v>-6</x:v>
      </x:c>
      <x:c r="F25">
        <x:v>-10</x:v>
      </x:c>
      <x:c r="M25">
        <x:v>550</x:v>
      </x:c>
      <x:c r="N25" t="n">
        <x:f>C25-D25*20-E25*0.8-F25*0.6-H25*5+I25*10+J25/300</x:f>
        <x:v>17.8</x:v>
      </x:c>
    </x:row>
    <x:row r="26">
      <x:c r="A26" t="s">
        <x:v>61</x:v>
      </x:c>
      <x:c r="B26" t="s">
        <x:v>62</x:v>
      </x:c>
      <x:c r="C26">
        <x:v>10</x:v>
      </x:c>
      <x:c r="D26">
        <x:v>0.27</x:v>
      </x:c>
      <x:c r="E26">
        <x:v>-8</x:v>
      </x:c>
      <x:c r="F26">
        <x:v>-12</x:v>
      </x:c>
      <x:c r="M26">
        <x:v>700</x:v>
      </x:c>
      <x:c r="N26" t="n">
        <x:f t="shared" ref="N26:N29" si="1">C26-D26*20-E26*0.8-F26*0.6-H26*5+I26*10+J26/300</x:f>
        <x:v>18.2</x:v>
      </x:c>
    </x:row>
    <x:row r="27">
      <x:c r="A27" t="s">
        <x:v>63</x:v>
      </x:c>
      <x:c r="B27" t="s">
        <x:v>64</x:v>
      </x:c>
      <x:c r="C27">
        <x:v>9</x:v>
      </x:c>
      <x:c r="D27">
        <x:v>0.28999999999999998</x:v>
      </x:c>
      <x:c r="E27">
        <x:v>-9</x:v>
      </x:c>
      <x:c r="F27">
        <x:v>-13</x:v>
      </x:c>
      <x:c r="M27">
        <x:v>1000</x:v>
      </x:c>
      <x:c r="N27">
        <x:f t="shared" si="1"/>
        <x:v>18.2</x:v>
      </x:c>
    </x:row>
    <x:row r="28">
      <x:c r="A28" t="s">
        <x:v>65</x:v>
      </x:c>
      <x:c r="B28" t="s">
        <x:v>66</x:v>
      </x:c>
      <x:c r="C28">
        <x:v>6</x:v>
      </x:c>
      <x:c r="D28">
        <x:v>0.34</x:v>
      </x:c>
      <x:c r="E28">
        <x:v>-11</x:v>
      </x:c>
      <x:c r="F28">
        <x:v>-17</x:v>
      </x:c>
      <x:c r="M28">
        <x:v>1500</x:v>
      </x:c>
      <x:c r="N28">
        <x:f t="shared" si="1"/>
        <x:v>18.2</x:v>
      </x:c>
    </x:row>
    <x:row r="29">
      <x:c r="A29" t="s">
        <x:v>67</x:v>
      </x:c>
      <x:c r="B29" t="s">
        <x:v>68</x:v>
      </x:c>
      <x:c r="C29">
        <x:v>5</x:v>
      </x:c>
      <x:c r="D29">
        <x:v>0.36</x:v>
      </x:c>
      <x:c r="E29">
        <x:v>-12</x:v>
      </x:c>
      <x:c r="F29">
        <x:v>-18</x:v>
      </x:c>
      <x:c r="M29">
        <x:v>1650</x:v>
      </x:c>
      <x:c r="N29">
        <x:f t="shared" si="1"/>
        <x:v>18.200000000000003</x:v>
      </x:c>
    </x:row>
    <x:row r="30">
      <x:c r="A30" t="s">
        <x:v>69</x:v>
      </x:c>
      <x:c r="B30" t="s">
        <x:v>70</x:v>
      </x:c>
      <x:c r="C30">
        <x:v>9</x:v>
      </x:c>
      <x:c r="D30">
        <x:v>0.28999999999999998</x:v>
      </x:c>
      <x:c r="E30">
        <x:v>-10</x:v>
      </x:c>
      <x:c r="F30">
        <x:v>-12</x:v>
      </x:c>
      <x:c r="M30">
        <x:v>1000</x:v>
      </x:c>
      <x:c r="N30" t="n">
        <x:f t="shared" ref="N30:N77" si="2">C30-D30*20-E30*0.8-F30*0.6-H30*5+I30*10+J30/300</x:f>
        <x:v>18.4</x:v>
      </x:c>
    </x:row>
    <x:row r="31">
      <x:c r="A31" t="s">
        <x:v>71</x:v>
      </x:c>
      <x:c r="B31" t="s">
        <x:v>72</x:v>
      </x:c>
      <x:c r="C31">
        <x:v>6</x:v>
      </x:c>
      <x:c r="D31">
        <x:v>0.36</x:v>
      </x:c>
      <x:c r="E31">
        <x:v>-12</x:v>
      </x:c>
      <x:c r="F31">
        <x:v>-16</x:v>
      </x:c>
      <x:c r="M31">
        <x:v>1200</x:v>
      </x:c>
      <x:c r="N31">
        <x:f t="shared" si="2"/>
        <x:v>18</x:v>
      </x:c>
    </x:row>
    <x:row r="32">
      <x:c r="A32" t="s">
        <x:v>73</x:v>
      </x:c>
      <x:c r="B32" t="s">
        <x:v>74</x:v>
      </x:c>
      <x:c r="C32">
        <x:v>11</x:v>
      </x:c>
      <x:c r="D32">
        <x:v>0.28000000000000003</x:v>
      </x:c>
      <x:c r="E32">
        <x:v>-7</x:v>
      </x:c>
      <x:c r="F32">
        <x:v>-12</x:v>
      </x:c>
      <x:c r="M32">
        <x:v>950</x:v>
      </x:c>
      <x:c r="N32">
        <x:f t="shared" si="2"/>
        <x:v>18.2</x:v>
      </x:c>
    </x:row>
    <x:row r="33">
      <x:c r="A33" t="s">
        <x:v>75</x:v>
      </x:c>
      <x:c r="B33" t="s">
        <x:v>76</x:v>
      </x:c>
      <x:c r="C33">
        <x:v>8</x:v>
      </x:c>
      <x:c r="D33">
        <x:v>0.34</x:v>
      </x:c>
      <x:c r="E33">
        <x:v>-10</x:v>
      </x:c>
      <x:c r="F33">
        <x:v>-15</x:v>
      </x:c>
      <x:c r="M33">
        <x:v>900</x:v>
      </x:c>
      <x:c r="N33">
        <x:f t="shared" si="2"/>
        <x:v>18.2</x:v>
      </x:c>
    </x:row>
    <x:row r="34">
      <x:c r="A34" t="s">
        <x:v>77</x:v>
      </x:c>
      <x:c r="B34" t="s">
        <x:v>78</x:v>
      </x:c>
      <x:c r="C34">
        <x:v>14</x:v>
      </x:c>
      <x:c r="D34">
        <x:v>0.24</x:v>
      </x:c>
      <x:c r="E34">
        <x:v>-5</x:v>
      </x:c>
      <x:c r="F34">
        <x:v>-9</x:v>
      </x:c>
      <x:c r="M34">
        <x:v>800</x:v>
      </x:c>
      <x:c r="N34">
        <x:f t="shared" si="2"/>
        <x:v>18.599999999999998</x:v>
      </x:c>
    </x:row>
    <x:row r="35">
      <x:c r="A35" t="s">
        <x:v>79</x:v>
      </x:c>
      <x:c r="B35" t="s">
        <x:v>80</x:v>
      </x:c>
      <x:c r="C35">
        <x:v>12</x:v>
      </x:c>
      <x:c r="D35">
        <x:v>0.28000000000000003</x:v>
      </x:c>
      <x:c r="E35">
        <x:v>-9</x:v>
      </x:c>
      <x:c r="F35">
        <x:v>-11</x:v>
      </x:c>
      <x:c r="M35">
        <x:v>1500</x:v>
      </x:c>
      <x:c r="N35">
        <x:f t="shared" si="2"/>
        <x:v>20.2</x:v>
      </x:c>
    </x:row>
    <x:row r="36">
      <x:c r="A36" t="s">
        <x:v>81</x:v>
      </x:c>
      <x:c r="B36" t="s">
        <x:v>82</x:v>
      </x:c>
      <x:c r="C36">
        <x:v>12</x:v>
      </x:c>
      <x:c r="D36">
        <x:v>0.24</x:v>
      </x:c>
      <x:c r="E36">
        <x:v>-8</x:v>
      </x:c>
      <x:c r="F36">
        <x:v>-10</x:v>
      </x:c>
      <x:c r="M36">
        <x:v>1100</x:v>
      </x:c>
      <x:c r="N36">
        <x:f t="shared" si="2"/>
        <x:v>19.600000000000001</x:v>
      </x:c>
    </x:row>
    <x:row r="37">
      <x:c r="A37" t="s">
        <x:v>83</x:v>
      </x:c>
      <x:c r="B37" t="s">
        <x:v>84</x:v>
      </x:c>
      <x:c r="C37">
        <x:v>15</x:v>
      </x:c>
      <x:c r="D37">
        <x:v>0.2</x:v>
      </x:c>
      <x:c r="E37">
        <x:v>-6</x:v>
      </x:c>
      <x:c r="F37">
        <x:v>-5</x:v>
      </x:c>
      <x:c r="M37">
        <x:v>700</x:v>
      </x:c>
      <x:c r="N37" t="n">
        <x:f>C37-D37*20-E37*0.8-F37*0.6-H37*5+I37*10+J37/300</x:f>
        <x:v>18.8</x:v>
      </x:c>
    </x:row>
    <x:row r="38">
      <x:c r="A38" t="s">
        <x:v>85</x:v>
      </x:c>
      <x:c r="B38" t="s">
        <x:v>86</x:v>
      </x:c>
      <x:c r="C38">
        <x:v>13</x:v>
      </x:c>
      <x:c r="D38">
        <x:v>0.25</x:v>
      </x:c>
      <x:c r="E38">
        <x:v>-8</x:v>
      </x:c>
      <x:c r="F38">
        <x:v>-7</x:v>
      </x:c>
      <x:c r="M38">
        <x:v>750</x:v>
      </x:c>
      <x:c r="N38" t="n">
        <x:f t="shared" ref="N38:N45" si="3">C38-D38*20-E38*0.8-F38*0.6-H38*5+I38*10+J38/300</x:f>
        <x:v>18.6</x:v>
      </x:c>
    </x:row>
    <x:row r="39">
      <x:c r="A39" t="s">
        <x:v>87</x:v>
      </x:c>
      <x:c r="B39" t="s">
        <x:v>88</x:v>
      </x:c>
      <x:c r="C39">
        <x:v>11</x:v>
      </x:c>
      <x:c r="D39">
        <x:v>0.28000000000000003</x:v>
      </x:c>
      <x:c r="E39">
        <x:v>-10</x:v>
      </x:c>
      <x:c r="F39">
        <x:v>-9</x:v>
      </x:c>
      <x:c r="M39">
        <x:v>800</x:v>
      </x:c>
      <x:c r="N39">
        <x:f t="shared" si="3"/>
        <x:v>18.799999999999997</x:v>
      </x:c>
    </x:row>
    <x:row r="40">
      <x:c r="A40" t="s">
        <x:v>89</x:v>
      </x:c>
      <x:c r="B40" t="s">
        <x:v>90</x:v>
      </x:c>
      <x:c r="C40">
        <x:v>9</x:v>
      </x:c>
      <x:c r="D40">
        <x:v>0.33</x:v>
      </x:c>
      <x:c r="E40">
        <x:v>-12</x:v>
      </x:c>
      <x:c r="F40">
        <x:v>-11</x:v>
      </x:c>
      <x:c r="M40">
        <x:v>900</x:v>
      </x:c>
      <x:c r="N40">
        <x:f t="shared" si="3"/>
        <x:v>18.600000000000001</x:v>
      </x:c>
    </x:row>
    <x:row r="41">
      <x:c r="A41" s="1" t="s">
        <x:v>91</x:v>
      </x:c>
      <x:c r="B41" s="1" t="s">
        <x:v>92</x:v>
      </x:c>
      <x:c r="C41" s="1">
        <x:v>10</x:v>
      </x:c>
      <x:c r="D41" s="1">
        <x:v>0.31</x:v>
      </x:c>
      <x:c r="E41" s="1">
        <x:v>-12</x:v>
      </x:c>
      <x:c r="F41" s="1">
        <x:v>-10</x:v>
      </x:c>
      <x:c r="M41" s="1">
        <x:v>1100</x:v>
      </x:c>
      <x:c r="N41" s="1">
        <x:f t="shared" si="3"/>
        <x:v>19.400000000000002</x:v>
      </x:c>
    </x:row>
    <x:row r="42">
      <x:c r="A42" s="1" t="s">
        <x:v>93</x:v>
      </x:c>
      <x:c r="B42" s="1" t="s">
        <x:v>94</x:v>
      </x:c>
      <x:c r="C42" s="1">
        <x:v>11</x:v>
      </x:c>
      <x:c r="D42" s="1">
        <x:v>0.26</x:v>
      </x:c>
      <x:c r="E42" s="1">
        <x:v>-11</x:v>
      </x:c>
      <x:c r="F42" s="1">
        <x:v>-8</x:v>
      </x:c>
      <x:c r="M42" s="1">
        <x:v>1000</x:v>
      </x:c>
      <x:c r="N42" s="1">
        <x:f t="shared" si="3"/>
        <x:v>19.400000000000002</x:v>
      </x:c>
    </x:row>
    <x:row r="43">
      <x:c r="A43" s="1" t="s">
        <x:v>95</x:v>
      </x:c>
      <x:c r="B43" s="1" t="s">
        <x:v>96</x:v>
      </x:c>
      <x:c r="C43" s="1">
        <x:v>10</x:v>
      </x:c>
      <x:c r="D43" s="1">
        <x:v>0.28999999999999998</x:v>
      </x:c>
      <x:c r="E43" s="1">
        <x:v>-12</x:v>
      </x:c>
      <x:c r="F43" s="1">
        <x:v>-9</x:v>
      </x:c>
      <x:c r="M43" s="1">
        <x:v>1050</x:v>
      </x:c>
      <x:c r="N43" s="1">
        <x:f t="shared" si="3"/>
        <x:v>19.2</x:v>
      </x:c>
    </x:row>
    <x:row r="44">
      <x:c r="A44" s="1" t="s">
        <x:v>97</x:v>
      </x:c>
      <x:c r="B44" s="1" t="s">
        <x:v>98</x:v>
      </x:c>
      <x:c r="C44" s="1">
        <x:v>8</x:v>
      </x:c>
      <x:c r="D44" s="1">
        <x:v>0.33</x:v>
      </x:c>
      <x:c r="E44" s="1">
        <x:v>-13</x:v>
      </x:c>
      <x:c r="F44" s="1">
        <x:v>-12</x:v>
      </x:c>
      <x:c r="M44" s="1">
        <x:v>1100</x:v>
      </x:c>
      <x:c r="N44" s="1">
        <x:f t="shared" si="3"/>
        <x:v>19</x:v>
      </x:c>
    </x:row>
    <x:row r="45">
      <x:c r="A45" s="1" t="s">
        <x:v>99</x:v>
      </x:c>
      <x:c r="B45" s="1" t="s">
        <x:v>100</x:v>
      </x:c>
      <x:c r="C45" s="1">
        <x:v>7</x:v>
      </x:c>
      <x:c r="D45" s="1">
        <x:v>0.36</x:v>
      </x:c>
      <x:c r="E45" s="1">
        <x:v>-15</x:v>
      </x:c>
      <x:c r="F45" s="1">
        <x:v>-12</x:v>
      </x:c>
      <x:c r="M45" s="1">
        <x:v>1200</x:v>
      </x:c>
      <x:c r="N45" s="1">
        <x:f t="shared" si="3"/>
        <x:v>19</x:v>
      </x:c>
    </x:row>
    <x:row r="46">
      <x:c r="A46" t="s">
        <x:v>101</x:v>
      </x:c>
      <x:c r="B46" t="s">
        <x:v>102</x:v>
      </x:c>
      <x:c r="C46">
        <x:v>9</x:v>
      </x:c>
      <x:c r="D46">
        <x:v>0.33</x:v>
      </x:c>
      <x:c r="E46">
        <x:v>-10</x:v>
      </x:c>
      <x:c r="F46">
        <x:v>-15</x:v>
      </x:c>
      <x:c r="M46">
        <x:v>1500</x:v>
      </x:c>
      <x:c r="N46" t="n">
        <x:f t="shared" ref="N46:N47" si="4">C46-D46*20-E46*0.8-F46*0.6-H46*5+I46*10+J46/300</x:f>
        <x:v>19.4</x:v>
      </x:c>
    </x:row>
    <x:row r="47">
      <x:c r="A47" t="s">
        <x:v>103</x:v>
      </x:c>
      <x:c r="B47" t="s">
        <x:v>104</x:v>
      </x:c>
      <x:c r="C47">
        <x:v>13</x:v>
      </x:c>
      <x:c r="D47">
        <x:v>0.24</x:v>
      </x:c>
      <x:c r="E47">
        <x:v>-7</x:v>
      </x:c>
      <x:c r="F47">
        <x:v>-9</x:v>
      </x:c>
      <x:c r="M47">
        <x:v>1100</x:v>
      </x:c>
      <x:c r="N47">
        <x:f t="shared" si="4"/>
        <x:v>19.2</x:v>
      </x:c>
    </x:row>
    <x:row r="48">
      <x:c r="A48" t="s">
        <x:v>105</x:v>
      </x:c>
      <x:c r="B48" t="s">
        <x:v>106</x:v>
      </x:c>
      <x:c r="C48">
        <x:v>11</x:v>
      </x:c>
      <x:c r="D48">
        <x:v>0.28000000000000003</x:v>
      </x:c>
      <x:c r="E48">
        <x:v>-9</x:v>
      </x:c>
      <x:c r="F48">
        <x:v>-11</x:v>
      </x:c>
      <x:c r="M48">
        <x:v>1150</x:v>
      </x:c>
      <x:c r="N48" t="n">
        <x:f>C48-D48*20-E48*0.8-F48*0.6-H48*5+I48*10+J48/300</x:f>
        <x:v>19.2</x:v>
      </x:c>
    </x:row>
    <x:row r="49">
      <x:c r="A49" t="s">
        <x:v>107</x:v>
      </x:c>
      <x:c r="B49" t="s">
        <x:v>108</x:v>
      </x:c>
      <x:c r="C49">
        <x:v>9</x:v>
      </x:c>
      <x:c r="D49">
        <x:v>0.32</x:v>
      </x:c>
      <x:c r="E49">
        <x:v>-11</x:v>
      </x:c>
      <x:c r="F49">
        <x:v>-13</x:v>
      </x:c>
      <x:c r="M49">
        <x:v>1250</x:v>
      </x:c>
      <x:c r="N49" t="n">
        <x:f>C49-D49*20-E49*0.8-F49*0.6-H49*5+I49*10+J49/300</x:f>
        <x:v>19.2</x:v>
      </x:c>
    </x:row>
    <x:row r="50">
      <x:c r="A50" t="s">
        <x:v>109</x:v>
      </x:c>
      <x:c r="B50" t="s">
        <x:v>110</x:v>
      </x:c>
      <x:c r="C50">
        <x:v>8</x:v>
      </x:c>
      <x:c r="D50">
        <x:v>0.35</x:v>
      </x:c>
      <x:c r="E50">
        <x:v>-12</x:v>
      </x:c>
      <x:c r="F50">
        <x:v>-14</x:v>
      </x:c>
      <x:c r="M50">
        <x:v>1300</x:v>
      </x:c>
      <x:c r="N50" t="n">
        <x:f>C50-D50*20-E50*0.8-F50*0.6-H50*5+I50*10+J50/300</x:f>
        <x:v>19</x:v>
      </x:c>
    </x:row>
    <x:row r="51">
      <x:c r="A51" t="s">
        <x:v>111</x:v>
      </x:c>
      <x:c r="B51" t="s">
        <x:v>112</x:v>
      </x:c>
      <x:c r="C51">
        <x:v>14</x:v>
      </x:c>
      <x:c r="D51">
        <x:v>0.24</x:v>
      </x:c>
      <x:c r="E51">
        <x:v>-5</x:v>
      </x:c>
      <x:c r="F51">
        <x:v>-10</x:v>
      </x:c>
      <x:c r="M51">
        <x:v>1300</x:v>
      </x:c>
      <x:c r="N51">
        <x:f t="shared" si="2"/>
        <x:v>19.2</x:v>
      </x:c>
    </x:row>
    <x:row r="52">
      <x:c r="A52" t="s">
        <x:v>113</x:v>
      </x:c>
      <x:c r="B52" t="s">
        <x:v>114</x:v>
      </x:c>
      <x:c r="C52">
        <x:v>12</x:v>
      </x:c>
      <x:c r="D52">
        <x:v>0.27</x:v>
      </x:c>
      <x:c r="E52">
        <x:v>-6</x:v>
      </x:c>
      <x:c r="F52">
        <x:v>-13</x:v>
      </x:c>
      <x:c r="M52">
        <x:v>1350</x:v>
      </x:c>
      <x:c r="N52">
        <x:f t="shared" si="2"/>
        <x:v>19.2</x:v>
      </x:c>
    </x:row>
    <x:row r="53">
      <x:c r="A53" t="s">
        <x:v>115</x:v>
      </x:c>
      <x:c r="B53" t="s">
        <x:v>116</x:v>
      </x:c>
      <x:c r="C53">
        <x:v>11</x:v>
      </x:c>
      <x:c r="D53">
        <x:v>0.3</x:v>
      </x:c>
      <x:c r="E53">
        <x:v>-7</x:v>
      </x:c>
      <x:c r="F53">
        <x:v>-15</x:v>
      </x:c>
      <x:c r="M53">
        <x:v>1400</x:v>
      </x:c>
      <x:c r="N53">
        <x:f t="shared" si="2"/>
        <x:v>19.600000000000001</x:v>
      </x:c>
    </x:row>
    <x:row r="54">
      <x:c r="A54" t="s">
        <x:v>117</x:v>
      </x:c>
      <x:c r="B54" t="s">
        <x:v>118</x:v>
      </x:c>
      <x:c r="C54">
        <x:v>9</x:v>
      </x:c>
      <x:c r="D54">
        <x:v>0.34</x:v>
      </x:c>
      <x:c r="E54">
        <x:v>-9</x:v>
      </x:c>
      <x:c r="F54">
        <x:v>-17</x:v>
      </x:c>
      <x:c r="M54">
        <x:v>1450</x:v>
      </x:c>
      <x:c r="N54">
        <x:f t="shared" si="2"/>
        <x:v>19.599999999999998</x:v>
      </x:c>
    </x:row>
    <x:row r="55">
      <x:c r="A55" t="s">
        <x:v>119</x:v>
      </x:c>
      <x:c r="B55" t="s">
        <x:v>120</x:v>
      </x:c>
      <x:c r="C55">
        <x:v>7</x:v>
      </x:c>
      <x:c r="D55">
        <x:v>0.38</x:v>
      </x:c>
      <x:c r="E55">
        <x:v>-11</x:v>
      </x:c>
      <x:c r="F55">
        <x:v>-18</x:v>
      </x:c>
      <x:c r="M55">
        <x:v>1500</x:v>
      </x:c>
      <x:c r="N55">
        <x:f t="shared" si="2"/>
        <x:v>19</x:v>
      </x:c>
    </x:row>
    <x:row r="56">
      <x:c r="A56" t="s">
        <x:v>121</x:v>
      </x:c>
      <x:c r="B56" t="s">
        <x:v>122</x:v>
      </x:c>
      <x:c r="C56">
        <x:v>5</x:v>
      </x:c>
      <x:c r="D56">
        <x:v>0.42</x:v>
      </x:c>
      <x:c r="E56">
        <x:v>-12</x:v>
      </x:c>
      <x:c r="F56">
        <x:v>-20</x:v>
      </x:c>
      <x:c r="M56">
        <x:v>1600</x:v>
      </x:c>
      <x:c r="N56">
        <x:f t="shared" si="2"/>
        <x:v>18.200000000000003</x:v>
      </x:c>
    </x:row>
    <x:row r="57">
      <x:c r="N57">
        <x:f t="shared" si="2"/>
        <x:v>0</x:v>
      </x:c>
    </x:row>
    <x:row r="58">
      <x:c r="A58" t="s">
        <x:v>123</x:v>
      </x:c>
      <x:c r="B58" t="s">
        <x:v>124</x:v>
      </x:c>
      <x:c r="C58" t="n">
        <x:v>-0.5</x:v>
      </x:c>
      <x:c r="D58">
        <x:v>0.1</x:v>
      </x:c>
      <x:c r="E58">
        <x:v>2</x:v>
      </x:c>
      <x:c r="F58">
        <x:v>2</x:v>
      </x:c>
      <x:c r="M58">
        <x:v>0</x:v>
      </x:c>
      <x:c r="N58">
        <x:f t="shared" si="2"/>
        <x:v>-5.8</x:v>
      </x:c>
    </x:row>
    <x:row r="59">
      <x:c r="A59" t="s">
        <x:v>125</x:v>
      </x:c>
      <x:c r="B59" t="s">
        <x:v>126</x:v>
      </x:c>
      <x:c r="C59" t="n">
        <x:v>-0.5</x:v>
      </x:c>
      <x:c r="D59">
        <x:v>0.04</x:v>
      </x:c>
      <x:c r="E59">
        <x:v>2</x:v>
      </x:c>
      <x:c r="F59">
        <x:v>2</x:v>
      </x:c>
      <x:c r="M59">
        <x:v>0</x:v>
      </x:c>
      <x:c r="N59">
        <x:f t="shared" si="2"/>
        <x:v>-4.6000000000000005</x:v>
      </x:c>
    </x:row>
    <x:row r="60">
      <x:c r="A60" t="s">
        <x:v>127</x:v>
      </x:c>
      <x:c r="B60" t="s">
        <x:v>124</x:v>
      </x:c>
      <x:c r="C60" t="n">
        <x:v>-0.5</x:v>
      </x:c>
      <x:c r="D60">
        <x:v>0.1</x:v>
      </x:c>
      <x:c r="M60">
        <x:v>0</x:v>
      </x:c>
      <x:c r="N60">
        <x:f t="shared" si="2"/>
        <x:v>-3</x:v>
      </x:c>
    </x:row>
    <x:row r="61">
      <x:c r="A61" t="s">
        <x:v>128</x:v>
      </x:c>
      <x:c r="B61" t="s">
        <x:v>126</x:v>
      </x:c>
      <x:c r="C61" t="n">
        <x:v>-0.5</x:v>
      </x:c>
      <x:c r="D61">
        <x:v>0.04</x:v>
      </x:c>
      <x:c r="M61">
        <x:v>0</x:v>
      </x:c>
      <x:c r="N61">
        <x:f t="shared" si="2"/>
        <x:v>-1.8</x:v>
      </x:c>
    </x:row>
    <x:row r="62">
      <x:c r="A62" t="s">
        <x:v>129</x:v>
      </x:c>
      <x:c r="B62" t="s">
        <x:v>124</x:v>
      </x:c>
      <x:c r="C62" t="n">
        <x:v>-0.5</x:v>
      </x:c>
      <x:c r="D62">
        <x:v>0.1</x:v>
      </x:c>
      <x:c r="M62">
        <x:v>0</x:v>
      </x:c>
      <x:c r="N62">
        <x:f t="shared" si="2"/>
        <x:v>-3</x:v>
      </x:c>
    </x:row>
    <x:row r="63">
      <x:c r="N63">
        <x:f t="shared" si="2"/>
        <x:v>0</x:v>
      </x:c>
    </x:row>
    <x:row r="64">
      <x:c r="A64" t="str">
        <x:v>pro_tactical_upr_16_4_bottom</x:v>
      </x:c>
      <x:c r="B64" t="str">
        <x:v>P.R.O Tactical UPR 16/4 Picatinny Rail</x:v>
      </x:c>
      <x:c r="C64">
        <x:v>-3</x:v>
      </x:c>
      <x:c r="D64">
        <x:v>0.06</x:v>
      </x:c>
      <x:c r="E64">
        <x:v>2</x:v>
      </x:c>
      <x:c r="F64">
        <x:v>2</x:v>
      </x:c>
      <x:c r="M64">
        <x:v>400</x:v>
      </x:c>
      <x:c r="N64">
        <x:f t="shared" si="2"/>
        <x:v>-7.0000000000000009</x:v>
      </x:c>
    </x:row>
    <x:row r="65">
      <x:c r="A65" t="str">
        <x:v>cosmotac_marsv2_bottom</x:v>
      </x:c>
      <x:c r="B65" t="str">
        <x:v>CosmoTac MARSV2 Picatinny Rail</x:v>
      </x:c>
      <x:c r="C65">
        <x:v>-2</x:v>
      </x:c>
      <x:c r="D65">
        <x:v>7.0000000000000007E-2</x:v>
      </x:c>
      <x:c r="E65">
        <x:v>1</x:v>
      </x:c>
      <x:c r="F65">
        <x:v>5</x:v>
      </x:c>
      <x:c r="M65">
        <x:v>300</x:v>
      </x:c>
      <x:c r="N65">
        <x:f t="shared" si="2"/>
        <x:v>-7.2</x:v>
      </x:c>
    </x:row>
    <x:row r="66">
      <x:c r="A66" t="str">
        <x:v>pro_tactical_upr_16_4_top</x:v>
      </x:c>
      <x:c r="B66" t="str">
        <x:v>P.R.O Tactical UPR 16/4 Picatinny Rail</x:v>
      </x:c>
      <x:c r="C66">
        <x:v>-3</x:v>
      </x:c>
      <x:c r="D66">
        <x:v>0.06</x:v>
      </x:c>
      <x:c r="M66">
        <x:v>400</x:v>
      </x:c>
      <x:c r="N66">
        <x:f t="shared" si="2"/>
        <x:v>-4.2</x:v>
      </x:c>
    </x:row>
    <x:row r="67">
      <x:c r="A67" t="str">
        <x:v>cosmotac_marsv2_top</x:v>
      </x:c>
      <x:c r="B67" t="str">
        <x:v>CosmoTac MARSV2 Picatinny Rail</x:v>
      </x:c>
      <x:c r="C67">
        <x:v>-2</x:v>
      </x:c>
      <x:c r="D67">
        <x:v>7.0000000000000007E-2</x:v>
      </x:c>
      <x:c r="M67">
        <x:v>300</x:v>
      </x:c>
      <x:c r="N67">
        <x:f t="shared" si="2"/>
        <x:v>-3.4000000000000004</x:v>
      </x:c>
    </x:row>
    <x:row r="68">
      <x:c r="N68">
        <x:f t="shared" si="2"/>
        <x:v>0</x:v>
      </x:c>
    </x:row>
    <x:row r="69">
      <x:c r="A69" t="str">
        <x:v>calsport_handguard_long_accessory_rail_bottom</x:v>
      </x:c>
      <x:c r="B69" t="str">
        <x:v>Cal Sport Long Accessory Rail</x:v>
      </x:c>
      <x:c r="C69">
        <x:v>-2</x:v>
      </x:c>
      <x:c r="D69">
        <x:v>7.0000000000000007E-2</x:v>
      </x:c>
      <x:c r="M69">
        <x:v>700</x:v>
      </x:c>
      <x:c r="N69">
        <x:f t="shared" si="2"/>
        <x:v>-3.4000000000000004</x:v>
      </x:c>
    </x:row>
    <x:row r="70">
      <x:c r="A70" t="str">
        <x:v>calsport_handguard_long_accessory_rail_side</x:v>
      </x:c>
      <x:c r="B70" t="str">
        <x:v>Cal Sport Long Accessory Rail</x:v>
      </x:c>
      <x:c r="C70">
        <x:v>-2</x:v>
      </x:c>
      <x:c r="D70">
        <x:v>7.0000000000000007E-2</x:v>
      </x:c>
      <x:c r="M70">
        <x:v>700</x:v>
      </x:c>
      <x:c r="N70">
        <x:f t="shared" si="2"/>
        <x:v>-3.4000000000000004</x:v>
      </x:c>
    </x:row>
    <x:row r="71">
      <x:c r="A71" t="str">
        <x:v>calsport_handguard_short_accessory_rail_bottom</x:v>
      </x:c>
      <x:c r="B71" t="str">
        <x:v>Cal Sport Short Accessory Rail</x:v>
      </x:c>
      <x:c r="C71">
        <x:v>-1</x:v>
      </x:c>
      <x:c r="D71">
        <x:v>0.04</x:v>
      </x:c>
      <x:c r="M71">
        <x:v>300</x:v>
      </x:c>
      <x:c r="N71">
        <x:f t="shared" si="2"/>
        <x:v>-1.8</x:v>
      </x:c>
    </x:row>
    <x:row r="72">
      <x:c r="A72" t="str">
        <x:v>calsport_handguard_short_accessory_rail_side</x:v>
      </x:c>
      <x:c r="B72" t="str">
        <x:v>Cal Sport Short Accessory Rail</x:v>
      </x:c>
      <x:c r="C72">
        <x:v>-1</x:v>
      </x:c>
      <x:c r="D72">
        <x:v>0.04</x:v>
      </x:c>
      <x:c r="M72">
        <x:v>300</x:v>
      </x:c>
      <x:c r="N72">
        <x:f t="shared" si="2"/>
        <x:v>-1.8</x:v>
      </x:c>
    </x:row>
    <x:row r="73">
      <x:c r="N73">
        <x:f t="shared" si="2"/>
        <x:v>0</x:v>
      </x:c>
    </x:row>
    <x:row r="74">
      <x:c r="A74" s="1" t="s">
        <x:v>130</x:v>
      </x:c>
      <x:c r="B74" s="1" t="s">
        <x:v>131</x:v>
      </x:c>
      <x:c r="C74" s="1">
        <x:v>11</x:v>
      </x:c>
      <x:c r="D74" s="1">
        <x:v>0.28999999999999998</x:v>
      </x:c>
      <x:c r="E74" s="1">
        <x:v>-10</x:v>
      </x:c>
      <x:c r="F74" s="1">
        <x:v>-10</x:v>
      </x:c>
      <x:c r="M74">
        <x:v>1200</x:v>
      </x:c>
      <x:c r="N74" s="1">
        <x:f t="shared" si="2"/>
        <x:v>19.2</x:v>
      </x:c>
    </x:row>
    <x:row r="75">
      <x:c r="A75" s="1" t="str">
        <x:v>ad_m4a1_raf_3_10.5_handguard</x:v>
      </x:c>
      <x:c r="B75" s="1" t="s">
        <x:v>132</x:v>
      </x:c>
      <x:c r="C75" s="1">
        <x:v>10</x:v>
      </x:c>
      <x:c r="D75" s="1">
        <x:v>0.32</x:v>
      </x:c>
      <x:c r="E75" s="1">
        <x:v>-11</x:v>
      </x:c>
      <x:c r="F75" s="1">
        <x:v>-11</x:v>
      </x:c>
      <x:c r="M75">
        <x:v>1250</x:v>
      </x:c>
      <x:c r="N75" s="1">
        <x:f t="shared" si="2"/>
        <x:v>19</x:v>
      </x:c>
    </x:row>
    <x:row r="76">
      <x:c r="A76" s="1" t="s">
        <x:v>133</x:v>
      </x:c>
      <x:c r="B76" s="2" t="s">
        <x:v>134</x:v>
      </x:c>
      <x:c r="C76" s="1">
        <x:v>9</x:v>
      </x:c>
      <x:c r="D76" s="1">
        <x:v>0.35</x:v>
      </x:c>
      <x:c r="E76" s="1">
        <x:v>-12</x:v>
      </x:c>
      <x:c r="F76" s="1">
        <x:v>-13</x:v>
      </x:c>
      <x:c r="M76">
        <x:v>1300</x:v>
      </x:c>
      <x:c r="N76" s="1">
        <x:f t="shared" si="2"/>
        <x:v>19.400000000000002</x:v>
      </x:c>
    </x:row>
    <x:row r="77">
      <x:c r="A77" s="1" t="s">
        <x:v>135</x:v>
      </x:c>
      <x:c r="B77" s="1" t="s">
        <x:v>136</x:v>
      </x:c>
      <x:c r="C77" s="1">
        <x:v>9</x:v>
      </x:c>
      <x:c r="D77" s="1">
        <x:v>0.34</x:v>
      </x:c>
      <x:c r="E77" s="1">
        <x:v>-12</x:v>
      </x:c>
      <x:c r="F77" s="1">
        <x:v>-12</x:v>
      </x:c>
      <x:c r="M77">
        <x:v>1300</x:v>
      </x:c>
      <x:c r="N77" s="1">
        <x:f t="shared" si="2"/>
        <x:v>19</x:v>
      </x:c>
    </x:row>
  </x:sheetData>
  <x:pageMargins left="0.7" right="0.7" top="0.75" bottom="0.75" header="0.3" footer="0.3"/>
</x:worksheet>
</file>