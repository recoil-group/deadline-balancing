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an/Documents/deadline-balancing/changes/"/>
    </mc:Choice>
  </mc:AlternateContent>
  <xr:revisionPtr revIDLastSave="0" documentId="13_ncr:1_{A1BC23CF-4C1A-C743-A6B7-E526A41ED9CD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D12" i="1"/>
  <c r="E12" i="1"/>
  <c r="F12" i="1"/>
  <c r="G12" i="1"/>
  <c r="H12" i="1"/>
  <c r="I12" i="1"/>
  <c r="J12" i="1"/>
  <c r="K12" i="1"/>
  <c r="L12" i="1"/>
  <c r="M12" i="1"/>
  <c r="C12" i="1"/>
  <c r="E11" i="1"/>
  <c r="F11" i="1"/>
  <c r="G11" i="1"/>
  <c r="H11" i="1"/>
  <c r="I11" i="1"/>
  <c r="J11" i="1"/>
  <c r="K11" i="1"/>
  <c r="L11" i="1"/>
  <c r="M11" i="1"/>
  <c r="C11" i="1"/>
  <c r="D11" i="1"/>
  <c r="N3" i="1"/>
  <c r="N12" i="1" l="1"/>
  <c r="N11" i="1"/>
</calcChain>
</file>

<file path=xl/sharedStrings.xml><?xml version="1.0" encoding="utf-8"?>
<sst xmlns="http://schemas.openxmlformats.org/spreadsheetml/2006/main" count="31" uniqueCount="31">
  <si>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</si>
  <si>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</si>
  <si>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</si>
  <si>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</si>
  <si>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</si>
  <si>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</si>
  <si>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</si>
  <si>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</si>
  <si>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</si>
  <si>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bullet_deviation</t>
  </si>
  <si>
    <t>bullet_damage</t>
  </si>
  <si>
    <t>bullet_velocity</t>
  </si>
  <si>
    <t>buck_bullet_deviation</t>
  </si>
  <si>
    <t>fire_rate</t>
  </si>
  <si>
    <t>price</t>
  </si>
  <si>
    <t>hk_mp5a3_early_gen_stock_endplate</t>
  </si>
  <si>
    <t>HK MP5A3 Early Generation Stock Endplate</t>
  </si>
  <si>
    <t>hk_mp5a3_early_gen_collapsible_stock</t>
  </si>
  <si>
    <t>HK MP5A3 Early Generation Collapsible Stock</t>
  </si>
  <si>
    <t>hk_mp5a2_plastic_fixed_stock</t>
  </si>
  <si>
    <t>HK MP5A2 Plastic Fixed Stock</t>
  </si>
  <si>
    <t>hk_mp5_hk94_stock_endcap</t>
  </si>
  <si>
    <t>hk_mp5_endcap_sling_swivel</t>
  </si>
  <si>
    <t>HK MP5 Endcap Sling Swivel</t>
  </si>
  <si>
    <t>hk_mp5_hk94_cartman_stock_base</t>
  </si>
  <si>
    <t>hk_mp5_hk94_cartman_stock</t>
  </si>
  <si>
    <t>HK MP5/HK94 Cartman Stock Base</t>
  </si>
  <si>
    <t>HK MP5/HK94 Cartman Stock</t>
  </si>
  <si>
    <t>mp5a3</t>
  </si>
  <si>
    <t>cartman</t>
  </si>
  <si>
    <t>HK MP5/HK94 Stock Endcap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</si>
</sst>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="115" zoomScaleNormal="115" workbookViewId="0">
      <selection activeCell="D8" sqref="D8"/>
    </sheetView>
  </sheetViews>
  <sheetFormatPr baseColWidth="10" defaultColWidth="8.6640625" defaultRowHeight="15" x14ac:dyDescent="0.2"/>
  <cols>
    <col min="1" max="1" width="32" customWidth="1"/>
    <col min="2" max="2" width="33.83203125" customWidth="1"/>
    <col min="3" max="22" width="6.6640625" customWidth="1"/>
  </cols>
  <sheetData>
    <row r="1" spans="1:14" x14ac:dyDescent="0.2">
      <c r="C1" t="s">
        <v>0</v>
      </c>
    </row>
    <row r="2" spans="1:14" x14ac:dyDescent="0.2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3</v>
      </c>
    </row>
    <row r="3" spans="1:14" x14ac:dyDescent="0.2">
      <c r="A3" t="s">
        <v>19</v>
      </c>
      <c r="B3" t="s">
        <v>20</v>
      </c>
      <c r="C3">
        <v>8</v>
      </c>
      <c r="D3">
        <v>0.25</v>
      </c>
      <c r="E3">
        <v>-10</v>
      </c>
      <c r="F3">
        <v>-12</v>
      </c>
      <c r="M3">
        <v>0</v>
      </c>
      <c r="N3">
        <f t="shared" ref="N3:N12" si="0">C3-D3*20-E3*0.8-F3*0.6-H3*5+I3*10+J3/300</f>
        <v>18.2</v>
      </c>
    </row>
    <row r="4" spans="1:14" x14ac:dyDescent="0.2">
      <c r="A4" t="s">
        <v>15</v>
      </c>
      <c r="B4" t="s">
        <v>16</v>
      </c>
      <c r="C4">
        <v>0</v>
      </c>
      <c r="D4">
        <v>0.1</v>
      </c>
      <c r="M4">
        <v>1500</v>
      </c>
      <c r="N4">
        <f t="shared" si="0"/>
        <v>-2</v>
      </c>
    </row>
    <row r="5" spans="1:14" x14ac:dyDescent="0.2">
      <c r="A5" t="s">
        <v>17</v>
      </c>
      <c r="B5" t="s">
        <v>18</v>
      </c>
      <c r="C5">
        <v>12</v>
      </c>
      <c r="D5">
        <v>0.2</v>
      </c>
      <c r="E5">
        <v>-9</v>
      </c>
      <c r="F5">
        <v>-9</v>
      </c>
      <c r="M5">
        <v>0</v>
      </c>
      <c r="N5">
        <f t="shared" si="0"/>
        <v>20.599999999999998</v>
      </c>
    </row>
    <row r="6" spans="1:14" x14ac:dyDescent="0.2">
      <c r="A6" t="s">
        <v>21</v>
      </c>
      <c r="B6" t="s">
        <v>30</v>
      </c>
      <c r="C6">
        <v>0</v>
      </c>
      <c r="D6">
        <v>7.0000000000000007E-2</v>
      </c>
      <c r="M6">
        <v>1000</v>
      </c>
      <c r="N6">
        <f t="shared" si="0"/>
        <v>-1.4000000000000001</v>
      </c>
    </row>
    <row r="7" spans="1:14" x14ac:dyDescent="0.2">
      <c r="A7" t="s">
        <v>24</v>
      </c>
      <c r="B7" t="s">
        <v>26</v>
      </c>
      <c r="C7">
        <v>0</v>
      </c>
      <c r="D7">
        <v>0.05</v>
      </c>
      <c r="M7">
        <v>750</v>
      </c>
      <c r="N7">
        <f t="shared" si="0"/>
        <v>-1</v>
      </c>
    </row>
    <row r="8" spans="1:14" x14ac:dyDescent="0.2">
      <c r="A8" t="s">
        <v>25</v>
      </c>
      <c r="B8" t="s">
        <v>27</v>
      </c>
      <c r="C8">
        <v>9</v>
      </c>
      <c r="D8">
        <v>0.12</v>
      </c>
      <c r="E8">
        <v>-8</v>
      </c>
      <c r="F8">
        <v>-13</v>
      </c>
      <c r="M8">
        <v>0</v>
      </c>
      <c r="N8">
        <f t="shared" si="0"/>
        <v>20.8</v>
      </c>
    </row>
    <row r="9" spans="1:14" x14ac:dyDescent="0.2">
      <c r="A9" t="s">
        <v>22</v>
      </c>
      <c r="B9" t="s">
        <v>23</v>
      </c>
      <c r="C9">
        <v>12</v>
      </c>
      <c r="D9">
        <v>0.01</v>
      </c>
      <c r="E9">
        <v>10</v>
      </c>
      <c r="F9">
        <v>10</v>
      </c>
      <c r="H9">
        <v>0.2</v>
      </c>
      <c r="M9">
        <v>250</v>
      </c>
      <c r="N9">
        <f t="shared" si="0"/>
        <v>-3.1999999999999993</v>
      </c>
    </row>
    <row r="10" spans="1:14" x14ac:dyDescent="0.2">
      <c r="N10">
        <f t="shared" si="0"/>
        <v>0</v>
      </c>
    </row>
    <row r="11" spans="1:14" x14ac:dyDescent="0.2">
      <c r="B11" t="s">
        <v>28</v>
      </c>
      <c r="C11">
        <f>C4+C5</f>
        <v>12</v>
      </c>
      <c r="D11">
        <f>D4+D5</f>
        <v>0.30000000000000004</v>
      </c>
      <c r="E11">
        <f t="shared" ref="E11:M11" si="1">E4+E5</f>
        <v>-9</v>
      </c>
      <c r="F11">
        <f t="shared" si="1"/>
        <v>-9</v>
      </c>
      <c r="G11">
        <f t="shared" si="1"/>
        <v>0</v>
      </c>
      <c r="H11">
        <f t="shared" si="1"/>
        <v>0</v>
      </c>
      <c r="I11">
        <f t="shared" si="1"/>
        <v>0</v>
      </c>
      <c r="J11">
        <f t="shared" si="1"/>
        <v>0</v>
      </c>
      <c r="K11">
        <f t="shared" si="1"/>
        <v>0</v>
      </c>
      <c r="L11">
        <f t="shared" si="1"/>
        <v>0</v>
      </c>
      <c r="M11">
        <f t="shared" si="1"/>
        <v>1500</v>
      </c>
      <c r="N11">
        <f t="shared" si="0"/>
        <v>18.599999999999998</v>
      </c>
    </row>
    <row r="12" spans="1:14" x14ac:dyDescent="0.2">
      <c r="B12" t="s">
        <v>29</v>
      </c>
      <c r="C12">
        <f>C6+C7+C8</f>
        <v>9</v>
      </c>
      <c r="D12">
        <f t="shared" ref="D12:M12" si="2">D6+D7+D8</f>
        <v>0.24</v>
      </c>
      <c r="E12">
        <f t="shared" si="2"/>
        <v>-8</v>
      </c>
      <c r="F12">
        <f t="shared" si="2"/>
        <v>-13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si="2"/>
        <v>0</v>
      </c>
      <c r="K12">
        <f t="shared" si="2"/>
        <v>0</v>
      </c>
      <c r="L12">
        <f t="shared" si="2"/>
        <v>0</v>
      </c>
      <c r="M12">
        <f t="shared" si="2"/>
        <v>1750</v>
      </c>
      <c r="N12">
        <f t="shared" si="0"/>
        <v>18.400000000000002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2026-01-15T07:49:42Z</dcterms:modified>
</cp:coreProperties>
</file>