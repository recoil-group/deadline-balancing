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hyTh\Documents\GitHub\deadline-balancing\changes\"/>
    </mc:Choice>
  </mc:AlternateContent>
  <xr:revisionPtr revIDLastSave="0" documentId="13_ncr:1_{22D20EAF-26F9-436D-A5EC-0346D52B1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9" i="1"/>
  <c r="P10" i="1"/>
  <c r="P11" i="1"/>
  <c r="P12" i="1"/>
  <c r="P13" i="1"/>
  <c r="P14" i="1"/>
  <c r="P15" i="1"/>
  <c r="P16" i="1"/>
  <c r="P17" i="1"/>
  <c r="P18" i="1"/>
  <c r="P19" i="1"/>
  <c r="P21" i="1"/>
  <c r="P22" i="1"/>
  <c r="P23" i="1"/>
  <c r="P24" i="1"/>
  <c r="P25" i="1"/>
  <c r="P26" i="1"/>
  <c r="P28" i="1"/>
  <c r="P29" i="1"/>
  <c r="P30" i="1"/>
  <c r="P32" i="1"/>
  <c r="P33" i="1"/>
  <c r="P34" i="1"/>
  <c r="P36" i="1"/>
  <c r="P37" i="1"/>
  <c r="P38" i="1"/>
  <c r="P40" i="1"/>
  <c r="P41" i="1"/>
  <c r="P42" i="1"/>
  <c r="P43" i="1"/>
  <c r="P45" i="1"/>
  <c r="P46" i="1"/>
  <c r="P47" i="1"/>
  <c r="P49" i="1"/>
  <c r="P50" i="1"/>
  <c r="P52" i="1"/>
  <c r="P53" i="1"/>
  <c r="P54" i="1"/>
  <c r="P56" i="1"/>
  <c r="P57" i="1"/>
  <c r="P58" i="1"/>
  <c r="P60" i="1"/>
  <c r="P61" i="1"/>
  <c r="P62" i="1"/>
  <c r="P63" i="1"/>
  <c r="P64" i="1"/>
  <c r="P65" i="1"/>
  <c r="P4" i="1"/>
</calcChain>
</file>

<file path=xl/sharedStrings.xml><?xml version="1.0" encoding="utf-8"?>
<sst xmlns="http://schemas.openxmlformats.org/spreadsheetml/2006/main" count="130" uniqueCount="123">
  <si>
    <t>new</t>
  </si>
  <si>
    <t>name</t>
  </si>
  <si>
    <t>pretty_name</t>
  </si>
  <si>
    <t>ergonomics</t>
  </si>
  <si>
    <t>weight</t>
  </si>
  <si>
    <t>horizontal_recoil</t>
  </si>
  <si>
    <t>vertical_recoil</t>
  </si>
  <si>
    <t>magazine_capacity</t>
  </si>
  <si>
    <t>barrel_deviation</t>
  </si>
  <si>
    <t>bullet_damage</t>
  </si>
  <si>
    <t>bullet_velocity</t>
  </si>
  <si>
    <t>buck_barrel_deviation</t>
  </si>
  <si>
    <t>fire_rate</t>
  </si>
  <si>
    <t>price</t>
  </si>
  <si>
    <t>muzzle_loudness</t>
  </si>
  <si>
    <t>strength</t>
  </si>
  <si>
    <t>p226_frame</t>
  </si>
  <si>
    <t>sic_sturmer_p226_std_frame</t>
  </si>
  <si>
    <t>sic_sturmer_p226r_frame</t>
  </si>
  <si>
    <t>sic_sturmer_p226_mk25_frame</t>
  </si>
  <si>
    <t>sic_sturmer_p226_elite_frame</t>
  </si>
  <si>
    <t>p226_slide</t>
  </si>
  <si>
    <t>sic_sturmer_p226_std_9x19_slide</t>
  </si>
  <si>
    <t>ashguns_p226_elite_drd_cut_9x19_slide</t>
  </si>
  <si>
    <t>sic_sturmer_p226_elite_9x19_slide</t>
  </si>
  <si>
    <t>sic_sturmer_p226_procut_9x19_slide</t>
  </si>
  <si>
    <t>sic_sturmer_p226_rxp_9x19_slide</t>
  </si>
  <si>
    <t>sic_sturmer_p226_mk25_9x19_slide</t>
  </si>
  <si>
    <t xml:space="preserve">sic_sturmer_p229_std_9x19_slide </t>
  </si>
  <si>
    <t>sic_sturmer_p229_elite_9x19_slide</t>
  </si>
  <si>
    <t>sic_sturmer_p229_elite_legacy_9x19_slide</t>
  </si>
  <si>
    <t>sic_sturmer_p229_legacy_9x19_slide</t>
  </si>
  <si>
    <t>sic_sturmer_p229_rxp_9x19_slide</t>
  </si>
  <si>
    <t>p226_slide_cover</t>
  </si>
  <si>
    <t>sic_sturmer_p226_flush_sight_plate_cover</t>
  </si>
  <si>
    <t>sic_sturmer_p226_sight_plate_cover</t>
  </si>
  <si>
    <t>sic_sturmer_p229_flush_sight_plate_cover</t>
  </si>
  <si>
    <t>dl_precision_p226_229_drd_filler_plate</t>
  </si>
  <si>
    <t xml:space="preserve">sic_sturmer_p226_drd_sight_plate_cover </t>
  </si>
  <si>
    <t>sic_sturmer_p226_flush_drd_sight_plate_cover</t>
  </si>
  <si>
    <t>p226_takedown_lever</t>
  </si>
  <si>
    <t>sic_sturmer_sic_p_series_oem_takedown_lever</t>
  </si>
  <si>
    <t>lasevex_sic_p_series_takedown_lever</t>
  </si>
  <si>
    <t>goforce_sic_p_series_drive_ledge_takedown_lever</t>
  </si>
  <si>
    <t>p226_grip</t>
  </si>
  <si>
    <t>sic_sturmer_p226_std_two_piece_grip</t>
  </si>
  <si>
    <t>sic_sturmer_p226_std_two_piece_magwell_grip</t>
  </si>
  <si>
    <t>rogue_p226_smooth_hardwood_grip</t>
  </si>
  <si>
    <t>p226_trigger</t>
  </si>
  <si>
    <t>sic_sturmer_p_series_oem_trigger</t>
  </si>
  <si>
    <t>metrik_precision_sic_p_series_skeletonized_trigger</t>
  </si>
  <si>
    <t>ashguns_sic_p_series_straight_trigger</t>
  </si>
  <si>
    <t>p226_guide_rod</t>
  </si>
  <si>
    <t>sic_sturmer_p226_oem_guide_rod</t>
  </si>
  <si>
    <t>sic_sturmer_p229_oem_guide_rod</t>
  </si>
  <si>
    <t>lasevex_p226_green_laser_guide_rod</t>
  </si>
  <si>
    <t>lasevex_p229_green_laser_guide_rod</t>
  </si>
  <si>
    <t>p226_hammer</t>
  </si>
  <si>
    <t>sic_sturmer_p_series_oem_hammer</t>
  </si>
  <si>
    <t>ashguns_sic_p_series_modern_heritage_commander_hammer</t>
  </si>
  <si>
    <t>ravaryn_arms_sic_p_series_skeletonized_hammer</t>
  </si>
  <si>
    <t>p226_mag_release</t>
  </si>
  <si>
    <t>sic_sturmer_p_series_oem_mag_release</t>
  </si>
  <si>
    <t>ravaryn_arms_sic_p_series_extended_mag_release</t>
  </si>
  <si>
    <t>p226_magazine</t>
  </si>
  <si>
    <t>sic_sturmer_p226_9x19_15r_mag</t>
  </si>
  <si>
    <t>sic_sturmer_p226_mag_bottom_plate</t>
  </si>
  <si>
    <t>nexa_tactical_p226_4r_mag_extension</t>
  </si>
  <si>
    <t>p226_misc_parts</t>
  </si>
  <si>
    <t>sic_sturmer_p_series_oem_decocking_lever</t>
  </si>
  <si>
    <t>everetts_sic_226_229_duty_compensator</t>
  </si>
  <si>
    <t>p226_barrel</t>
  </si>
  <si>
    <t>sic_sturmer_p229_oem_3.9inch_9x19_barrel</t>
  </si>
  <si>
    <t>sic_sturmer_p229_oem_4.4inch_threaded_9x19_barrel</t>
  </si>
  <si>
    <t>val_bor_p229_4.4inch_threaded_9x19_barrel</t>
  </si>
  <si>
    <t>sic_sturmer_p226_oem_4.4inch_9x19_barrel</t>
  </si>
  <si>
    <t>sic_sturmer_p226_oem_5inch_threaded_9x19_barrel</t>
  </si>
  <si>
    <t>suppressors_inc_p226_5inch_threaded_9x19_barrel</t>
  </si>
  <si>
    <t>Sic Stürmer P226 Standard</t>
  </si>
  <si>
    <t>Sic Stürmer P226R</t>
  </si>
  <si>
    <t>Sic Stürmer P226 MK25</t>
  </si>
  <si>
    <t>Sic Stürmer P226 Elite</t>
  </si>
  <si>
    <t>Sic Stürmer P226 Standard 9x19</t>
  </si>
  <si>
    <t>Sic Stürmer P226 Elite DRD Optics Cut 9x19</t>
  </si>
  <si>
    <t>Sic Stürmer P226 Elite 9x19</t>
  </si>
  <si>
    <t>Sic Stürmer P226 PRO-CUT 9x19</t>
  </si>
  <si>
    <t>Sic Stürmer P226 RXP 9x19</t>
  </si>
  <si>
    <t>Sic Stürmer P226 MK25 9x19</t>
  </si>
  <si>
    <t>Sic Stürmer P229 Standard 9x19</t>
  </si>
  <si>
    <t>Sic Stürmer P229 Elite 9x19</t>
  </si>
  <si>
    <t>Sic Stürmer P229 Elite Legacy 9x19</t>
  </si>
  <si>
    <t>Sic Stürmer P229 Legacy 9x19</t>
  </si>
  <si>
    <t>Sic Stürmer P229 RXP 9x19</t>
  </si>
  <si>
    <t>Sic Stürmer P226 Flush Sight Plate</t>
  </si>
  <si>
    <t>Sic Stürmer P226 Sight Plate</t>
  </si>
  <si>
    <t>Sic Stürmer P229 Flush Sight Plate</t>
  </si>
  <si>
    <t>D&amp;L Precision P226/P229 DRD Filler Plate</t>
  </si>
  <si>
    <t>Sic Stürmer P-Series OEM</t>
  </si>
  <si>
    <t>LaseVex SIC P-Series</t>
  </si>
  <si>
    <t>GoForce SIC P-Series Drive Ledge</t>
  </si>
  <si>
    <t>Sic Stürmer P226 Standard Two-Piece</t>
  </si>
  <si>
    <t>Sic Stürmer P226 Standard Two-Piece Magwell</t>
  </si>
  <si>
    <t>Rogue P226 Smooth Hardwood</t>
  </si>
  <si>
    <t>Metrik Precision SIC P-Series Skeletonized</t>
  </si>
  <si>
    <t>ASHGUNS SIC P-Series Adjustable Straight</t>
  </si>
  <si>
    <t>Sic Stürmer P226 OEM</t>
  </si>
  <si>
    <t>Sic Stürmer P229 OEM</t>
  </si>
  <si>
    <t>LaseVex P226 Green Laser</t>
  </si>
  <si>
    <t>LaseVex P229 Green Laser</t>
  </si>
  <si>
    <t>ASHGUNS SIC P-Series Modern Heritage Commander</t>
  </si>
  <si>
    <t>Ravaryn Arms SIC P-Series Skeletonized</t>
  </si>
  <si>
    <t xml:space="preserve">Ravaryn Arms SIC P-Series Extended </t>
  </si>
  <si>
    <t>Sic Stürmer P226 9x19 15R</t>
  </si>
  <si>
    <t>Sic Stürmer P226 Mag</t>
  </si>
  <si>
    <t>Nexa Tactical P226 4R Extension</t>
  </si>
  <si>
    <t>Everetts Machining SIC 226/229 Duty</t>
  </si>
  <si>
    <t>Sic Stürmer P229 OEM 3.9" 9x19</t>
  </si>
  <si>
    <t>Sic Stürmer P229 OEM 4.4" Threaded 9x19</t>
  </si>
  <si>
    <t>Sic Stürmer P226 OEM 4.4" 9x19</t>
  </si>
  <si>
    <t>sic_sturmer_p_series_oem_slide_release</t>
  </si>
  <si>
    <t>Sic Stürmer P226 OEM 5" Threaded 9x19</t>
  </si>
  <si>
    <t>VAL-BOR P229 4.4" Threaded 9x19</t>
  </si>
  <si>
    <t>Suppressors Inc. P226 5" Threaded 9x19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</si>
</sst>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workbookViewId="0">
      <selection activeCell="K24" sqref="K24"/>
    </sheetView>
  </sheetViews>
  <sheetFormatPr defaultRowHeight="15" x14ac:dyDescent="0.25"/>
  <cols>
    <col min="2" max="2" width="9" customWidth="1"/>
    <col min="3" max="3" width="46.140625" customWidth="1"/>
  </cols>
  <sheetData>
    <row r="1" spans="1:16" x14ac:dyDescent="0.25">
      <c r="D1" t="s">
        <v>0</v>
      </c>
    </row>
    <row r="2" spans="1:16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25">
      <c r="A3" t="s">
        <v>16</v>
      </c>
    </row>
    <row r="4" spans="1:16" x14ac:dyDescent="0.25">
      <c r="B4" t="s">
        <v>17</v>
      </c>
      <c r="C4" t="s">
        <v>78</v>
      </c>
      <c r="D4">
        <v>3</v>
      </c>
      <c r="E4">
        <v>0.26</v>
      </c>
      <c r="F4">
        <v>0</v>
      </c>
      <c r="G4">
        <v>0</v>
      </c>
      <c r="N4">
        <v>0</v>
      </c>
      <c r="P4">
        <f>D4-E4*20-F4*0.8-G4*0.6-I4*10+J4*15+O4/200</f>
        <v>-2.2000000000000002</v>
      </c>
    </row>
    <row r="5" spans="1:16" x14ac:dyDescent="0.25">
      <c r="B5" t="s">
        <v>18</v>
      </c>
      <c r="C5" t="s">
        <v>79</v>
      </c>
      <c r="D5">
        <v>2</v>
      </c>
      <c r="E5">
        <v>0.28000000000000003</v>
      </c>
      <c r="F5">
        <v>-1</v>
      </c>
      <c r="G5">
        <v>-1</v>
      </c>
      <c r="N5">
        <v>500</v>
      </c>
      <c r="P5">
        <f t="shared" ref="P5:P65" si="0">D5-E5*20-F5*0.8-G5*0.6-I5*10+J5*15+O5/200</f>
        <v>-2.2000000000000006</v>
      </c>
    </row>
    <row r="6" spans="1:16" x14ac:dyDescent="0.25">
      <c r="B6" t="s">
        <v>19</v>
      </c>
      <c r="C6" t="s">
        <v>80</v>
      </c>
      <c r="D6">
        <v>2</v>
      </c>
      <c r="E6">
        <v>0.31</v>
      </c>
      <c r="F6">
        <v>-2</v>
      </c>
      <c r="G6">
        <v>-1</v>
      </c>
      <c r="N6">
        <v>750</v>
      </c>
      <c r="P6">
        <f t="shared" si="0"/>
        <v>-2</v>
      </c>
    </row>
    <row r="7" spans="1:16" x14ac:dyDescent="0.25">
      <c r="B7" t="s">
        <v>20</v>
      </c>
      <c r="C7" t="s">
        <v>81</v>
      </c>
      <c r="D7">
        <v>2</v>
      </c>
      <c r="E7">
        <v>0.38</v>
      </c>
      <c r="F7">
        <v>-3</v>
      </c>
      <c r="G7">
        <v>-2</v>
      </c>
      <c r="N7">
        <v>1000</v>
      </c>
      <c r="P7">
        <f t="shared" si="0"/>
        <v>-1.9999999999999993</v>
      </c>
    </row>
    <row r="8" spans="1:16" x14ac:dyDescent="0.25">
      <c r="A8" t="s">
        <v>21</v>
      </c>
    </row>
    <row r="9" spans="1:16" x14ac:dyDescent="0.25">
      <c r="B9" t="s">
        <v>22</v>
      </c>
      <c r="C9" t="s">
        <v>82</v>
      </c>
      <c r="D9">
        <v>2</v>
      </c>
      <c r="E9">
        <v>0.19</v>
      </c>
      <c r="F9">
        <v>-1</v>
      </c>
      <c r="G9">
        <v>-1</v>
      </c>
      <c r="N9">
        <v>0</v>
      </c>
      <c r="P9">
        <f t="shared" si="0"/>
        <v>-0.3999999999999998</v>
      </c>
    </row>
    <row r="10" spans="1:16" x14ac:dyDescent="0.25">
      <c r="B10" t="s">
        <v>23</v>
      </c>
      <c r="C10" t="s">
        <v>83</v>
      </c>
      <c r="D10">
        <v>1</v>
      </c>
      <c r="E10">
        <v>0.23</v>
      </c>
      <c r="F10">
        <v>-2</v>
      </c>
      <c r="G10">
        <v>-2</v>
      </c>
      <c r="N10">
        <v>1500</v>
      </c>
      <c r="P10">
        <f t="shared" si="0"/>
        <v>-0.80000000000000049</v>
      </c>
    </row>
    <row r="11" spans="1:16" x14ac:dyDescent="0.25">
      <c r="B11" t="s">
        <v>24</v>
      </c>
      <c r="C11" t="s">
        <v>84</v>
      </c>
      <c r="D11">
        <v>1</v>
      </c>
      <c r="E11">
        <v>0.23</v>
      </c>
      <c r="F11">
        <v>-2</v>
      </c>
      <c r="G11">
        <v>-2</v>
      </c>
      <c r="N11">
        <v>1200</v>
      </c>
      <c r="P11">
        <f t="shared" si="0"/>
        <v>-0.80000000000000049</v>
      </c>
    </row>
    <row r="12" spans="1:16" x14ac:dyDescent="0.25">
      <c r="B12" t="s">
        <v>25</v>
      </c>
      <c r="C12" t="s">
        <v>85</v>
      </c>
      <c r="D12">
        <v>3</v>
      </c>
      <c r="E12">
        <v>0.2</v>
      </c>
      <c r="F12">
        <v>0</v>
      </c>
      <c r="G12">
        <v>0</v>
      </c>
      <c r="N12">
        <v>750</v>
      </c>
      <c r="P12">
        <f t="shared" si="0"/>
        <v>-1</v>
      </c>
    </row>
    <row r="13" spans="1:16" x14ac:dyDescent="0.25">
      <c r="B13" t="s">
        <v>26</v>
      </c>
      <c r="C13" t="s">
        <v>86</v>
      </c>
      <c r="D13">
        <v>2</v>
      </c>
      <c r="E13">
        <v>0.19</v>
      </c>
      <c r="F13">
        <v>-1</v>
      </c>
      <c r="G13">
        <v>-1</v>
      </c>
      <c r="N13">
        <v>400</v>
      </c>
      <c r="P13">
        <f t="shared" si="0"/>
        <v>-0.3999999999999998</v>
      </c>
    </row>
    <row r="14" spans="1:16" x14ac:dyDescent="0.25">
      <c r="B14" t="s">
        <v>27</v>
      </c>
      <c r="C14" t="s">
        <v>87</v>
      </c>
      <c r="D14">
        <v>2</v>
      </c>
      <c r="E14">
        <v>0.22</v>
      </c>
      <c r="F14">
        <v>-2</v>
      </c>
      <c r="G14">
        <v>-1</v>
      </c>
      <c r="N14">
        <v>1000</v>
      </c>
      <c r="P14">
        <f t="shared" si="0"/>
        <v>-0.20000000000000029</v>
      </c>
    </row>
    <row r="15" spans="1:16" x14ac:dyDescent="0.25">
      <c r="B15" t="s">
        <v>28</v>
      </c>
      <c r="C15" t="s">
        <v>88</v>
      </c>
      <c r="D15">
        <v>3</v>
      </c>
      <c r="E15">
        <v>0.18</v>
      </c>
      <c r="F15">
        <v>0</v>
      </c>
      <c r="G15">
        <v>0</v>
      </c>
      <c r="N15">
        <v>600</v>
      </c>
      <c r="P15">
        <f t="shared" si="0"/>
        <v>-0.59999999999999964</v>
      </c>
    </row>
    <row r="16" spans="1:16" x14ac:dyDescent="0.25">
      <c r="B16" t="s">
        <v>29</v>
      </c>
      <c r="C16" t="s">
        <v>89</v>
      </c>
      <c r="D16">
        <v>4</v>
      </c>
      <c r="E16">
        <v>0.2</v>
      </c>
      <c r="F16">
        <v>0</v>
      </c>
      <c r="G16">
        <v>0</v>
      </c>
      <c r="N16">
        <v>1200</v>
      </c>
      <c r="P16">
        <f t="shared" si="0"/>
        <v>0</v>
      </c>
    </row>
    <row r="17" spans="1:16" x14ac:dyDescent="0.25">
      <c r="B17" t="s">
        <v>30</v>
      </c>
      <c r="C17" t="s">
        <v>90</v>
      </c>
      <c r="D17">
        <v>3</v>
      </c>
      <c r="E17">
        <v>0.19</v>
      </c>
      <c r="F17">
        <v>0</v>
      </c>
      <c r="G17">
        <v>-1</v>
      </c>
      <c r="N17">
        <v>900</v>
      </c>
      <c r="P17">
        <f t="shared" si="0"/>
        <v>-0.19999999999999984</v>
      </c>
    </row>
    <row r="18" spans="1:16" x14ac:dyDescent="0.25">
      <c r="B18" t="s">
        <v>31</v>
      </c>
      <c r="C18" t="s">
        <v>91</v>
      </c>
      <c r="D18">
        <v>2</v>
      </c>
      <c r="E18">
        <v>0.19</v>
      </c>
      <c r="F18">
        <v>-1</v>
      </c>
      <c r="G18">
        <v>-1</v>
      </c>
      <c r="N18">
        <v>300</v>
      </c>
      <c r="P18">
        <f t="shared" si="0"/>
        <v>-0.3999999999999998</v>
      </c>
    </row>
    <row r="19" spans="1:16" x14ac:dyDescent="0.25">
      <c r="B19" t="s">
        <v>32</v>
      </c>
      <c r="C19" t="s">
        <v>92</v>
      </c>
      <c r="D19">
        <v>3</v>
      </c>
      <c r="E19">
        <v>0.18</v>
      </c>
      <c r="F19">
        <v>0</v>
      </c>
      <c r="G19">
        <v>0</v>
      </c>
      <c r="N19">
        <v>800</v>
      </c>
      <c r="P19">
        <f t="shared" si="0"/>
        <v>-0.59999999999999964</v>
      </c>
    </row>
    <row r="20" spans="1:16" x14ac:dyDescent="0.25">
      <c r="A20" t="s">
        <v>33</v>
      </c>
    </row>
    <row r="21" spans="1:16" x14ac:dyDescent="0.25">
      <c r="B21" t="s">
        <v>34</v>
      </c>
      <c r="C21" t="s">
        <v>93</v>
      </c>
      <c r="D21">
        <v>0</v>
      </c>
      <c r="E21">
        <v>0.03</v>
      </c>
      <c r="N21">
        <v>225</v>
      </c>
      <c r="P21">
        <f t="shared" si="0"/>
        <v>-0.6</v>
      </c>
    </row>
    <row r="22" spans="1:16" x14ac:dyDescent="0.25">
      <c r="B22" t="s">
        <v>35</v>
      </c>
      <c r="C22" t="s">
        <v>94</v>
      </c>
      <c r="D22">
        <v>0.25</v>
      </c>
      <c r="E22">
        <v>0.04</v>
      </c>
      <c r="N22">
        <v>150</v>
      </c>
      <c r="P22">
        <f t="shared" si="0"/>
        <v>-0.55000000000000004</v>
      </c>
    </row>
    <row r="23" spans="1:16" x14ac:dyDescent="0.25">
      <c r="B23" t="s">
        <v>36</v>
      </c>
      <c r="C23" t="s">
        <v>95</v>
      </c>
      <c r="D23">
        <v>0</v>
      </c>
      <c r="E23">
        <v>0.03</v>
      </c>
      <c r="N23">
        <v>150</v>
      </c>
      <c r="P23">
        <f t="shared" si="0"/>
        <v>-0.6</v>
      </c>
    </row>
    <row r="24" spans="1:16" x14ac:dyDescent="0.25">
      <c r="B24" t="s">
        <v>37</v>
      </c>
      <c r="C24" t="s">
        <v>96</v>
      </c>
      <c r="D24">
        <v>0</v>
      </c>
      <c r="E24">
        <v>0.03</v>
      </c>
      <c r="N24">
        <v>300</v>
      </c>
      <c r="P24">
        <f t="shared" si="0"/>
        <v>-0.6</v>
      </c>
    </row>
    <row r="25" spans="1:16" x14ac:dyDescent="0.25">
      <c r="B25" t="s">
        <v>38</v>
      </c>
      <c r="C25" t="s">
        <v>93</v>
      </c>
      <c r="D25">
        <v>0</v>
      </c>
      <c r="E25">
        <v>0.03</v>
      </c>
      <c r="N25">
        <v>225</v>
      </c>
      <c r="P25">
        <f t="shared" si="0"/>
        <v>-0.6</v>
      </c>
    </row>
    <row r="26" spans="1:16" x14ac:dyDescent="0.25">
      <c r="B26" t="s">
        <v>39</v>
      </c>
      <c r="C26" t="s">
        <v>94</v>
      </c>
      <c r="D26">
        <v>0.25</v>
      </c>
      <c r="E26">
        <v>0.04</v>
      </c>
      <c r="N26">
        <v>150</v>
      </c>
      <c r="P26">
        <f t="shared" si="0"/>
        <v>-0.55000000000000004</v>
      </c>
    </row>
    <row r="27" spans="1:16" x14ac:dyDescent="0.25">
      <c r="A27" t="s">
        <v>40</v>
      </c>
    </row>
    <row r="28" spans="1:16" x14ac:dyDescent="0.25">
      <c r="B28" t="s">
        <v>41</v>
      </c>
      <c r="C28" t="s">
        <v>97</v>
      </c>
      <c r="D28">
        <v>1</v>
      </c>
      <c r="E28">
        <v>0.01</v>
      </c>
      <c r="N28">
        <v>0</v>
      </c>
      <c r="P28">
        <f t="shared" si="0"/>
        <v>0.8</v>
      </c>
    </row>
    <row r="29" spans="1:16" x14ac:dyDescent="0.25">
      <c r="B29" t="s">
        <v>42</v>
      </c>
      <c r="C29" t="s">
        <v>98</v>
      </c>
      <c r="D29">
        <v>-2</v>
      </c>
      <c r="E29">
        <v>0.01</v>
      </c>
      <c r="N29">
        <v>200</v>
      </c>
      <c r="P29">
        <f t="shared" si="0"/>
        <v>-2.2000000000000002</v>
      </c>
    </row>
    <row r="30" spans="1:16" x14ac:dyDescent="0.25">
      <c r="B30" t="s">
        <v>43</v>
      </c>
      <c r="C30" t="s">
        <v>99</v>
      </c>
      <c r="D30">
        <v>0</v>
      </c>
      <c r="E30">
        <v>0.03</v>
      </c>
      <c r="F30">
        <v>-1</v>
      </c>
      <c r="G30">
        <v>-1</v>
      </c>
      <c r="N30">
        <v>500</v>
      </c>
      <c r="P30">
        <f t="shared" si="0"/>
        <v>0.8</v>
      </c>
    </row>
    <row r="31" spans="1:16" x14ac:dyDescent="0.25">
      <c r="A31" t="s">
        <v>44</v>
      </c>
    </row>
    <row r="32" spans="1:16" x14ac:dyDescent="0.25">
      <c r="B32" t="s">
        <v>45</v>
      </c>
      <c r="C32" t="s">
        <v>100</v>
      </c>
      <c r="D32">
        <v>0</v>
      </c>
      <c r="E32">
        <v>0.04</v>
      </c>
      <c r="F32">
        <v>0</v>
      </c>
      <c r="G32">
        <v>0</v>
      </c>
      <c r="N32">
        <v>0</v>
      </c>
      <c r="P32">
        <f t="shared" si="0"/>
        <v>-0.8</v>
      </c>
    </row>
    <row r="33" spans="1:16" x14ac:dyDescent="0.25">
      <c r="B33" t="s">
        <v>46</v>
      </c>
      <c r="C33" t="s">
        <v>101</v>
      </c>
      <c r="D33">
        <v>1</v>
      </c>
      <c r="E33">
        <v>0.06</v>
      </c>
      <c r="F33">
        <v>0</v>
      </c>
      <c r="G33">
        <v>1</v>
      </c>
      <c r="N33">
        <v>250</v>
      </c>
      <c r="P33">
        <f t="shared" si="0"/>
        <v>-0.79999999999999993</v>
      </c>
    </row>
    <row r="34" spans="1:16" x14ac:dyDescent="0.25">
      <c r="B34" t="s">
        <v>47</v>
      </c>
      <c r="C34" t="s">
        <v>102</v>
      </c>
      <c r="D34">
        <v>0</v>
      </c>
      <c r="E34">
        <v>7.0000000000000007E-2</v>
      </c>
      <c r="F34">
        <v>0</v>
      </c>
      <c r="G34">
        <v>-1</v>
      </c>
      <c r="N34">
        <v>750</v>
      </c>
      <c r="P34">
        <f t="shared" si="0"/>
        <v>-0.80000000000000016</v>
      </c>
    </row>
    <row r="35" spans="1:16" x14ac:dyDescent="0.25">
      <c r="A35" t="s">
        <v>48</v>
      </c>
    </row>
    <row r="36" spans="1:16" x14ac:dyDescent="0.25">
      <c r="B36" t="s">
        <v>49</v>
      </c>
      <c r="C36" t="s">
        <v>97</v>
      </c>
      <c r="D36">
        <v>0</v>
      </c>
      <c r="E36">
        <v>0.02</v>
      </c>
      <c r="F36">
        <v>0</v>
      </c>
      <c r="G36">
        <v>0</v>
      </c>
      <c r="N36">
        <v>0</v>
      </c>
      <c r="P36">
        <f t="shared" si="0"/>
        <v>-0.4</v>
      </c>
    </row>
    <row r="37" spans="1:16" x14ac:dyDescent="0.25">
      <c r="B37" t="s">
        <v>50</v>
      </c>
      <c r="C37" t="s">
        <v>103</v>
      </c>
      <c r="D37">
        <v>1</v>
      </c>
      <c r="E37">
        <v>0.01</v>
      </c>
      <c r="F37">
        <v>0</v>
      </c>
      <c r="G37">
        <v>0</v>
      </c>
      <c r="M37">
        <v>0.05</v>
      </c>
      <c r="N37">
        <v>750</v>
      </c>
      <c r="P37">
        <f t="shared" si="0"/>
        <v>0.8</v>
      </c>
    </row>
    <row r="38" spans="1:16" x14ac:dyDescent="0.25">
      <c r="B38" t="s">
        <v>51</v>
      </c>
      <c r="C38" t="s">
        <v>104</v>
      </c>
      <c r="D38">
        <v>0</v>
      </c>
      <c r="E38">
        <v>0.03</v>
      </c>
      <c r="F38">
        <v>-1</v>
      </c>
      <c r="G38">
        <v>-1</v>
      </c>
      <c r="N38">
        <v>500</v>
      </c>
      <c r="P38">
        <f t="shared" si="0"/>
        <v>0.8</v>
      </c>
    </row>
    <row r="39" spans="1:16" x14ac:dyDescent="0.25">
      <c r="A39" t="s">
        <v>52</v>
      </c>
    </row>
    <row r="40" spans="1:16" x14ac:dyDescent="0.25">
      <c r="B40" t="s">
        <v>53</v>
      </c>
      <c r="C40" t="s">
        <v>105</v>
      </c>
      <c r="E40">
        <v>0.05</v>
      </c>
      <c r="N40">
        <v>0</v>
      </c>
      <c r="P40">
        <f t="shared" si="0"/>
        <v>-1</v>
      </c>
    </row>
    <row r="41" spans="1:16" x14ac:dyDescent="0.25">
      <c r="B41" t="s">
        <v>54</v>
      </c>
      <c r="C41" t="s">
        <v>106</v>
      </c>
      <c r="E41">
        <v>0.04</v>
      </c>
      <c r="N41">
        <v>0</v>
      </c>
      <c r="P41">
        <f t="shared" si="0"/>
        <v>-0.8</v>
      </c>
    </row>
    <row r="42" spans="1:16" x14ac:dyDescent="0.25">
      <c r="B42" t="s">
        <v>55</v>
      </c>
      <c r="C42" t="s">
        <v>107</v>
      </c>
      <c r="E42">
        <v>0.04</v>
      </c>
      <c r="N42">
        <v>1200</v>
      </c>
      <c r="P42">
        <f t="shared" si="0"/>
        <v>-0.8</v>
      </c>
    </row>
    <row r="43" spans="1:16" x14ac:dyDescent="0.25">
      <c r="B43" t="s">
        <v>56</v>
      </c>
      <c r="C43" t="s">
        <v>108</v>
      </c>
      <c r="E43">
        <v>0.03</v>
      </c>
      <c r="N43">
        <v>1300</v>
      </c>
      <c r="P43">
        <f t="shared" si="0"/>
        <v>-0.6</v>
      </c>
    </row>
    <row r="44" spans="1:16" x14ac:dyDescent="0.25">
      <c r="A44" t="s">
        <v>57</v>
      </c>
    </row>
    <row r="45" spans="1:16" x14ac:dyDescent="0.25">
      <c r="B45" t="s">
        <v>58</v>
      </c>
      <c r="C45" t="s">
        <v>97</v>
      </c>
      <c r="D45">
        <v>0</v>
      </c>
      <c r="E45">
        <v>0.03</v>
      </c>
      <c r="F45">
        <v>0</v>
      </c>
      <c r="G45">
        <v>0</v>
      </c>
      <c r="N45">
        <v>0</v>
      </c>
      <c r="P45">
        <f t="shared" si="0"/>
        <v>-0.6</v>
      </c>
    </row>
    <row r="46" spans="1:16" x14ac:dyDescent="0.25">
      <c r="B46" t="s">
        <v>59</v>
      </c>
      <c r="C46" t="s">
        <v>109</v>
      </c>
      <c r="D46">
        <v>0</v>
      </c>
      <c r="E46">
        <v>0.03</v>
      </c>
      <c r="F46">
        <v>-1</v>
      </c>
      <c r="G46">
        <v>0</v>
      </c>
      <c r="N46">
        <v>800</v>
      </c>
      <c r="P46">
        <f t="shared" si="0"/>
        <v>0.20000000000000007</v>
      </c>
    </row>
    <row r="47" spans="1:16" x14ac:dyDescent="0.25">
      <c r="B47" t="s">
        <v>60</v>
      </c>
      <c r="C47" t="s">
        <v>110</v>
      </c>
      <c r="D47">
        <v>0</v>
      </c>
      <c r="E47">
        <v>0.02</v>
      </c>
      <c r="F47">
        <v>0</v>
      </c>
      <c r="G47">
        <v>-1</v>
      </c>
      <c r="N47">
        <v>600</v>
      </c>
      <c r="P47">
        <f t="shared" si="0"/>
        <v>0.19999999999999996</v>
      </c>
    </row>
    <row r="48" spans="1:16" x14ac:dyDescent="0.25">
      <c r="A48" t="s">
        <v>61</v>
      </c>
    </row>
    <row r="49" spans="1:16" x14ac:dyDescent="0.25">
      <c r="B49" t="s">
        <v>62</v>
      </c>
      <c r="C49" t="s">
        <v>97</v>
      </c>
      <c r="D49">
        <v>0</v>
      </c>
      <c r="E49">
        <v>0.01</v>
      </c>
      <c r="N49">
        <v>0</v>
      </c>
      <c r="P49">
        <f t="shared" si="0"/>
        <v>-0.2</v>
      </c>
    </row>
    <row r="50" spans="1:16" x14ac:dyDescent="0.25">
      <c r="B50" t="s">
        <v>63</v>
      </c>
      <c r="C50" t="s">
        <v>111</v>
      </c>
      <c r="D50">
        <v>1</v>
      </c>
      <c r="E50">
        <v>0.02</v>
      </c>
      <c r="N50">
        <v>650</v>
      </c>
      <c r="P50">
        <f t="shared" si="0"/>
        <v>0.6</v>
      </c>
    </row>
    <row r="51" spans="1:16" x14ac:dyDescent="0.25">
      <c r="A51" t="s">
        <v>64</v>
      </c>
    </row>
    <row r="52" spans="1:16" x14ac:dyDescent="0.25">
      <c r="B52" t="s">
        <v>65</v>
      </c>
      <c r="C52" t="s">
        <v>112</v>
      </c>
      <c r="D52">
        <v>0</v>
      </c>
      <c r="E52">
        <v>0.23</v>
      </c>
      <c r="H52">
        <v>15</v>
      </c>
      <c r="N52">
        <v>0</v>
      </c>
      <c r="P52">
        <f t="shared" si="0"/>
        <v>-4.6000000000000005</v>
      </c>
    </row>
    <row r="53" spans="1:16" x14ac:dyDescent="0.25">
      <c r="B53" t="s">
        <v>66</v>
      </c>
      <c r="C53" t="s">
        <v>113</v>
      </c>
      <c r="D53">
        <v>0</v>
      </c>
      <c r="E53">
        <v>0.02</v>
      </c>
      <c r="N53">
        <v>0</v>
      </c>
      <c r="P53">
        <f t="shared" si="0"/>
        <v>-0.4</v>
      </c>
    </row>
    <row r="54" spans="1:16" x14ac:dyDescent="0.25">
      <c r="B54" t="s">
        <v>67</v>
      </c>
      <c r="C54" t="s">
        <v>114</v>
      </c>
      <c r="D54">
        <v>-2</v>
      </c>
      <c r="E54">
        <v>0.06</v>
      </c>
      <c r="H54">
        <v>4</v>
      </c>
      <c r="N54">
        <v>450</v>
      </c>
      <c r="P54">
        <f t="shared" si="0"/>
        <v>-3.2</v>
      </c>
    </row>
    <row r="55" spans="1:16" x14ac:dyDescent="0.25">
      <c r="A55" t="s">
        <v>68</v>
      </c>
    </row>
    <row r="56" spans="1:16" x14ac:dyDescent="0.25">
      <c r="B56" t="s">
        <v>69</v>
      </c>
      <c r="C56" t="s">
        <v>97</v>
      </c>
      <c r="E56">
        <v>0.01</v>
      </c>
      <c r="N56">
        <v>0</v>
      </c>
      <c r="P56">
        <f t="shared" si="0"/>
        <v>-0.2</v>
      </c>
    </row>
    <row r="57" spans="1:16" x14ac:dyDescent="0.25">
      <c r="B57" t="s">
        <v>119</v>
      </c>
      <c r="C57" t="s">
        <v>97</v>
      </c>
      <c r="E57">
        <v>0.01</v>
      </c>
      <c r="N57">
        <v>0</v>
      </c>
      <c r="P57">
        <f t="shared" si="0"/>
        <v>-0.2</v>
      </c>
    </row>
    <row r="58" spans="1:16" x14ac:dyDescent="0.25">
      <c r="B58" t="s">
        <v>70</v>
      </c>
      <c r="C58" t="s">
        <v>115</v>
      </c>
      <c r="D58">
        <v>-2</v>
      </c>
      <c r="E58">
        <v>0.12</v>
      </c>
      <c r="F58">
        <v>-12</v>
      </c>
      <c r="G58">
        <v>-12</v>
      </c>
      <c r="N58">
        <v>1200</v>
      </c>
      <c r="O58">
        <v>0.05</v>
      </c>
      <c r="P58">
        <f t="shared" si="0"/>
        <v>12.40025</v>
      </c>
    </row>
    <row r="59" spans="1:16" x14ac:dyDescent="0.25">
      <c r="A59" t="s">
        <v>71</v>
      </c>
    </row>
    <row r="60" spans="1:16" x14ac:dyDescent="0.25">
      <c r="B60" t="s">
        <v>72</v>
      </c>
      <c r="C60" t="s">
        <v>116</v>
      </c>
      <c r="D60">
        <v>2</v>
      </c>
      <c r="E60">
        <v>7.0000000000000007E-2</v>
      </c>
      <c r="F60">
        <v>3</v>
      </c>
      <c r="G60">
        <v>4</v>
      </c>
      <c r="I60">
        <v>0.1</v>
      </c>
      <c r="J60">
        <v>-0.02</v>
      </c>
      <c r="K60">
        <v>-70</v>
      </c>
      <c r="N60">
        <v>300</v>
      </c>
      <c r="P60">
        <f t="shared" si="0"/>
        <v>-5.5</v>
      </c>
    </row>
    <row r="61" spans="1:16" x14ac:dyDescent="0.25">
      <c r="B61" t="s">
        <v>73</v>
      </c>
      <c r="C61" t="s">
        <v>117</v>
      </c>
      <c r="D61">
        <v>-1</v>
      </c>
      <c r="E61">
        <v>0.09</v>
      </c>
      <c r="F61">
        <v>2</v>
      </c>
      <c r="G61">
        <v>1</v>
      </c>
      <c r="I61">
        <v>7.0000000000000007E-2</v>
      </c>
      <c r="K61">
        <v>-50</v>
      </c>
      <c r="N61">
        <v>1000</v>
      </c>
      <c r="P61">
        <f t="shared" si="0"/>
        <v>-5.7</v>
      </c>
    </row>
    <row r="62" spans="1:16" x14ac:dyDescent="0.25">
      <c r="B62" t="s">
        <v>74</v>
      </c>
      <c r="C62" t="s">
        <v>121</v>
      </c>
      <c r="D62">
        <v>-1</v>
      </c>
      <c r="E62">
        <v>0.1</v>
      </c>
      <c r="F62">
        <v>2</v>
      </c>
      <c r="G62">
        <v>2</v>
      </c>
      <c r="I62">
        <v>0.05</v>
      </c>
      <c r="K62">
        <v>-50</v>
      </c>
      <c r="N62">
        <v>1500</v>
      </c>
      <c r="P62">
        <f t="shared" si="0"/>
        <v>-6.3</v>
      </c>
    </row>
    <row r="63" spans="1:16" x14ac:dyDescent="0.25">
      <c r="B63" t="s">
        <v>75</v>
      </c>
      <c r="C63" t="s">
        <v>118</v>
      </c>
      <c r="D63">
        <v>0</v>
      </c>
      <c r="E63">
        <v>0.09</v>
      </c>
      <c r="F63">
        <v>0</v>
      </c>
      <c r="G63">
        <v>0</v>
      </c>
      <c r="I63">
        <v>0.02</v>
      </c>
      <c r="K63">
        <v>-50</v>
      </c>
      <c r="N63">
        <v>0</v>
      </c>
      <c r="P63">
        <f t="shared" si="0"/>
        <v>-1.9999999999999998</v>
      </c>
    </row>
    <row r="64" spans="1:16" x14ac:dyDescent="0.25">
      <c r="B64" t="s">
        <v>76</v>
      </c>
      <c r="C64" t="s">
        <v>120</v>
      </c>
      <c r="D64">
        <v>-2</v>
      </c>
      <c r="E64">
        <v>0.12</v>
      </c>
      <c r="F64">
        <v>-1</v>
      </c>
      <c r="G64">
        <v>-1</v>
      </c>
      <c r="I64">
        <v>0.06</v>
      </c>
      <c r="J64">
        <v>0.01</v>
      </c>
      <c r="K64">
        <v>-20</v>
      </c>
      <c r="N64">
        <v>1200</v>
      </c>
      <c r="P64">
        <f t="shared" si="0"/>
        <v>-3.4500000000000006</v>
      </c>
    </row>
    <row r="65" spans="2:16" x14ac:dyDescent="0.25">
      <c r="B65" t="s">
        <v>77</v>
      </c>
      <c r="C65" t="s">
        <v>122</v>
      </c>
      <c r="D65">
        <v>-2</v>
      </c>
      <c r="E65">
        <v>0.13</v>
      </c>
      <c r="F65">
        <v>-1</v>
      </c>
      <c r="G65">
        <v>-1</v>
      </c>
      <c r="I65">
        <v>0.02</v>
      </c>
      <c r="J65">
        <v>0.01</v>
      </c>
      <c r="K65">
        <v>-20</v>
      </c>
      <c r="N65">
        <v>1800</v>
      </c>
      <c r="P65">
        <f t="shared" si="0"/>
        <v>-3.25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furry slayer</dc:creator>
  <cp:lastModifiedBy>furry slayer</cp:lastModifiedBy>
  <dcterms:created xsi:type="dcterms:W3CDTF">2015-06-05T18:17:20Z</dcterms:created>
  <dcterms:modified xsi:type="dcterms:W3CDTF">2026-10-19T22:04:34Z</dcterms:modified>
</cp:coreProperties>
</file>