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rail-panel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00000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18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tabSelected="1" zoomScale="130" zoomScaleNormal="130" workbookViewId="0">
      <selection activeCell="O3" sqref="O3"/>
    </sheetView>
  </sheetViews>
  <sheetFormatPr baseColWidth="8" defaultColWidth="8.7109375" defaultRowHeight="15"/>
  <cols>
    <col width="27.140625" customWidth="1" min="2" max="2"/>
    <col width="6.7109375" customWidth="1" min="3" max="23"/>
  </cols>
  <sheetData>
    <row r="1">
      <c r="C1" t="inlineStr">
        <is>
          <t>new</t>
        </is>
      </c>
    </row>
    <row r="2">
      <c r="A2" t="inlineStr">
        <is>
          <t>name</t>
        </is>
      </c>
      <c r="B2" t="inlineStr">
        <is>
          <t>pretty_name</t>
        </is>
      </c>
      <c r="C2" t="inlineStr">
        <is>
          <t>ergonomics</t>
        </is>
      </c>
      <c r="D2" t="inlineStr">
        <is>
          <t>weight</t>
        </is>
      </c>
      <c r="E2" t="inlineStr">
        <is>
          <t>horizontal_recoil</t>
        </is>
      </c>
      <c r="F2" t="inlineStr">
        <is>
          <t>vertical_recoil</t>
        </is>
      </c>
      <c r="G2" t="inlineStr">
        <is>
          <t>magazine_capacity</t>
        </is>
      </c>
      <c r="H2" t="inlineStr">
        <is>
          <t>barrel_deviation</t>
        </is>
      </c>
      <c r="I2" t="inlineStr">
        <is>
          <t>bullet_damage</t>
        </is>
      </c>
      <c r="J2" t="inlineStr">
        <is>
          <t>bullet_velocity</t>
        </is>
      </c>
      <c r="K2" t="inlineStr">
        <is>
          <t>buck_barrel_deviation</t>
        </is>
      </c>
      <c r="L2" t="inlineStr">
        <is>
          <t>fire_rate</t>
        </is>
      </c>
      <c r="M2" t="inlineStr">
        <is>
          <t>price</t>
        </is>
      </c>
      <c r="N2" s="1" t="inlineStr">
        <is>
          <t>muzzle_loudness</t>
        </is>
      </c>
      <c r="O2" t="inlineStr">
        <is>
          <t>strength</t>
        </is>
      </c>
    </row>
    <row r="3">
      <c r="A3" s="1" t="inlineStr">
        <is>
          <t>pac_2rib_railpanel</t>
        </is>
      </c>
      <c r="B3" s="1" t="inlineStr">
        <is>
          <t>PAC 2 Rib</t>
        </is>
      </c>
      <c r="C3" s="1" t="n">
        <v>0.5</v>
      </c>
      <c r="D3" s="1" t="n">
        <v>0.02</v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>
        <v>100</v>
      </c>
      <c r="N3" s="1" t="n"/>
      <c r="O3">
        <f>C3-D3*20-E3*0.8-F3*0.6-H3*10+I3*15+J3/200-N3*5</f>
        <v/>
      </c>
    </row>
    <row r="4">
      <c r="A4" s="1" t="inlineStr">
        <is>
          <t>pac_4rib_railpanel</t>
        </is>
      </c>
      <c r="B4" s="1" t="inlineStr">
        <is>
          <t>PAC 4 Rib</t>
        </is>
      </c>
      <c r="C4" s="1" t="n">
        <v>0.75</v>
      </c>
      <c r="D4" s="1" t="n">
        <v>0.03</v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>
        <v>200</v>
      </c>
      <c r="N4" s="1" t="n"/>
      <c r="O4">
        <f>C4-D4*20-E4*0.8-F4*0.6-H4*10+I4*15+J4/200-N4*5</f>
        <v/>
      </c>
    </row>
    <row r="5">
      <c r="A5" s="1" t="inlineStr">
        <is>
          <t>pac_5rib_railpanel</t>
        </is>
      </c>
      <c r="B5" s="1" t="inlineStr">
        <is>
          <t>PAC 5 Rib</t>
        </is>
      </c>
      <c r="C5" s="1" t="n">
        <v>1</v>
      </c>
      <c r="D5" s="1" t="n">
        <v>0.04</v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>
        <v>300</v>
      </c>
      <c r="N5" s="1" t="n"/>
      <c r="O5">
        <f>C5-D5*20-E5*0.8-F5*0.6-H5*10+I5*15+J5/200-N5*5</f>
        <v/>
      </c>
    </row>
    <row r="6">
      <c r="A6" s="1" t="inlineStr">
        <is>
          <t>pac_6rib_railpanel</t>
        </is>
      </c>
      <c r="B6" s="1" t="inlineStr">
        <is>
          <t>PAC 6 Rib</t>
        </is>
      </c>
      <c r="C6" s="1" t="n">
        <v>1.25</v>
      </c>
      <c r="D6" s="1" t="n">
        <v>0.05</v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>
        <v>400</v>
      </c>
      <c r="N6" s="1" t="n"/>
      <c r="O6">
        <f>C6-D6*20-E6*0.8-F6*0.6-H6*10+I6*15+J6/200-N6*5</f>
        <v/>
      </c>
    </row>
    <row r="7">
      <c r="A7" s="1" t="inlineStr">
        <is>
          <t>pac_9rib_railpanel</t>
        </is>
      </c>
      <c r="B7" s="1" t="inlineStr">
        <is>
          <t>PAC 9 Rib</t>
        </is>
      </c>
      <c r="C7" s="1" t="n">
        <v>1.5</v>
      </c>
      <c r="D7" s="1" t="n">
        <v>0.06</v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>
        <v>500</v>
      </c>
      <c r="N7" s="1" t="n"/>
      <c r="O7">
        <f>C7-D7*20-E7*0.8-F7*0.6-H7*10+I7*15+J7/200-N7*5</f>
        <v/>
      </c>
    </row>
    <row r="8">
      <c r="A8" s="1" t="inlineStr">
        <is>
          <t>pac_11rib_railpanel</t>
        </is>
      </c>
      <c r="B8" s="1" t="inlineStr">
        <is>
          <t>PAC 11 Rib</t>
        </is>
      </c>
      <c r="C8" s="1" t="n">
        <v>1.75</v>
      </c>
      <c r="D8" s="1" t="n">
        <v>0.07000000000000001</v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>
        <v>600</v>
      </c>
      <c r="N8" s="1" t="n"/>
      <c r="O8">
        <f>C8-D8*20-E8*0.8-F8*0.6-H8*10+I8*15+J8/200-N8*5</f>
        <v/>
      </c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>
        <f>C9-D9*20-E9*0.8-F9*0.6-H9*10+I9*15+J9/200-N9*5</f>
        <v/>
      </c>
    </row>
    <row r="10">
      <c r="A10" s="1" t="inlineStr">
        <is>
          <t>magtap_xtm_enhanced_half_panel_1</t>
        </is>
      </c>
      <c r="B10" s="1" t="inlineStr">
        <is>
          <t>Magtap XTM Enhanced Modular Half Panel Piece</t>
        </is>
      </c>
      <c r="C10" s="1" t="n">
        <v>0.25</v>
      </c>
      <c r="D10" s="1" t="n">
        <v>0.01</v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>
        <v>50</v>
      </c>
      <c r="N10" s="1" t="n"/>
      <c r="O10">
        <f>C10-D10*20-E10*0.8-F10*0.6-H10*10+I10*15+J10/200-N10*5</f>
        <v/>
      </c>
    </row>
    <row r="11">
      <c r="A11" s="1" t="inlineStr">
        <is>
          <t>magtap_xtm_enhanced_panel_1</t>
        </is>
      </c>
      <c r="B11" s="1" t="inlineStr">
        <is>
          <t>Magtap XTM Enhanced Modular Panel Piece</t>
        </is>
      </c>
      <c r="C11" s="1" t="n">
        <v>0.5</v>
      </c>
      <c r="D11" s="1" t="n">
        <v>0.02</v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>
        <v>50</v>
      </c>
      <c r="N11" s="1" t="n"/>
      <c r="O11">
        <f>C11-D11*20-E11*0.8-F11*0.6-H11*10+I11*15+J11/200-N11*5</f>
        <v/>
      </c>
    </row>
    <row r="12">
      <c r="A12" s="1" t="inlineStr">
        <is>
          <t>xtm_2_piece</t>
        </is>
      </c>
      <c r="B12" s="1" t="inlineStr">
        <is>
          <t>Magtap XTM 2-Piece Panel</t>
        </is>
      </c>
      <c r="C12" s="1" t="n">
        <v>1</v>
      </c>
      <c r="D12" s="1" t="n">
        <v>0.04</v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>
        <v>200</v>
      </c>
      <c r="N12" s="1" t="n"/>
      <c r="O12">
        <f>C12-D12*20-E12*0.8-F12*0.6-H12*10+I12*15+J12/200-N12*5</f>
        <v/>
      </c>
    </row>
    <row r="13">
      <c r="A13" s="1" t="inlineStr">
        <is>
          <t>xtm_4_piece</t>
        </is>
      </c>
      <c r="B13" s="1" t="inlineStr">
        <is>
          <t>Magtap XTM 4-Piece Panel</t>
        </is>
      </c>
      <c r="C13" s="1" t="n">
        <v>1.75</v>
      </c>
      <c r="D13" s="1" t="n">
        <v>0.07000000000000001</v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>
        <v>400</v>
      </c>
      <c r="N13" s="1" t="n"/>
      <c r="O13">
        <f>C13-D13*20-E13*0.8-F13*0.6-H13*10+I13*15+J13/200-N13*5</f>
        <v/>
      </c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>
        <f>C14-D14*20-E14*0.8-F14*0.6-H14*10+I14*15+J14/200-N14*5</f>
        <v/>
      </c>
    </row>
    <row r="15">
      <c r="A15" s="1" t="inlineStr">
        <is>
          <t>axtell_defense_3inch_picatinny_rail_panel</t>
        </is>
      </c>
      <c r="B15" s="1" t="inlineStr">
        <is>
          <t>Axtell Defense 3 inch Picatinny</t>
        </is>
      </c>
      <c r="C15" s="1" t="n">
        <v>1</v>
      </c>
      <c r="D15" s="1" t="n">
        <v>0.04</v>
      </c>
      <c r="E15" s="1" t="n"/>
      <c r="F15" s="1" t="n"/>
      <c r="G15" s="1" t="n"/>
      <c r="H15" s="1" t="n"/>
      <c r="I15" s="1" t="n"/>
      <c r="J15" s="1" t="n"/>
      <c r="K15" s="1" t="n"/>
      <c r="L15" s="1" t="n"/>
      <c r="M15" s="1" t="n">
        <v>300</v>
      </c>
      <c r="N15" s="1" t="n"/>
      <c r="O15">
        <f>C15-D15*20-E15*0.8-F15*0.6-H15*10+I15*15+J15/200-N15*5</f>
        <v/>
      </c>
    </row>
    <row r="16">
      <c r="A16" s="1" t="inlineStr">
        <is>
          <t>axtell_defense_5inch_picatinny_rail_panel</t>
        </is>
      </c>
      <c r="B16" s="1" t="inlineStr">
        <is>
          <t>Axtell Defense 5 inch Picatinny</t>
        </is>
      </c>
      <c r="C16" s="1" t="n">
        <v>1.5</v>
      </c>
      <c r="D16" s="1" t="n">
        <v>0.06</v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>
        <v>500</v>
      </c>
      <c r="N16" s="1" t="n"/>
      <c r="O16">
        <f>C16-D16*20-E16*0.8-F16*0.6-H16*10+I16*15+J16/200-N16*5</f>
        <v/>
      </c>
    </row>
    <row r="17">
      <c r="A17" s="1" t="inlineStr">
        <is>
          <t>axtell_defense_7inch_picatinny_rail_panel</t>
        </is>
      </c>
      <c r="B17" s="1" t="inlineStr">
        <is>
          <t>Axtell Defense 7 inch Picatinny</t>
        </is>
      </c>
      <c r="C17" s="1" t="n">
        <v>2</v>
      </c>
      <c r="D17" s="1" t="n">
        <v>0.08</v>
      </c>
      <c r="E17" s="1" t="n"/>
      <c r="F17" s="1" t="n"/>
      <c r="G17" s="1" t="n"/>
      <c r="H17" s="1" t="n"/>
      <c r="I17" s="1" t="n"/>
      <c r="J17" s="1" t="n"/>
      <c r="K17" s="1" t="n"/>
      <c r="L17" s="1" t="n"/>
      <c r="M17" s="1" t="n">
        <v>700</v>
      </c>
      <c r="N17" s="1" t="n"/>
      <c r="O17">
        <f>C17-D17*20-E17*0.8-F17*0.6-H17*10+I17*15+J17/200-N17*5</f>
        <v/>
      </c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>
        <f>C18-D18*20-E18*0.8-F18*0.6-H18*10+I18*15+J18/200-N18*5</f>
        <v/>
      </c>
    </row>
    <row r="19">
      <c r="A19" s="1" t="inlineStr">
        <is>
          <t>veles_npn_2_half_rail_cover</t>
        </is>
      </c>
      <c r="B19" s="1" t="inlineStr">
        <is>
          <t>Veles NPN-2 Half</t>
        </is>
      </c>
      <c r="C19" s="1" t="n">
        <v>0.5</v>
      </c>
      <c r="D19" s="1" t="n">
        <v>0.02</v>
      </c>
      <c r="E19" s="1" t="n"/>
      <c r="F19" s="1" t="n"/>
      <c r="G19" s="1" t="n"/>
      <c r="H19" s="1" t="n"/>
      <c r="I19" s="1" t="n"/>
      <c r="J19" s="1" t="n"/>
      <c r="K19" s="1" t="n"/>
      <c r="L19" s="1" t="n"/>
      <c r="M19" s="1" t="n">
        <v>300</v>
      </c>
      <c r="N19" s="1" t="n"/>
      <c r="O19">
        <f>C19-D19*20-E19*0.8-F19*0.6-H19*10+I19*15+J19/200-N19*5</f>
        <v/>
      </c>
    </row>
    <row r="20">
      <c r="A20" s="1" t="inlineStr">
        <is>
          <t>veles_npn_2_rail_cover</t>
        </is>
      </c>
      <c r="B20" s="1" t="inlineStr">
        <is>
          <t>Veles NPN-2</t>
        </is>
      </c>
      <c r="C20" s="1" t="n">
        <v>1</v>
      </c>
      <c r="D20" s="1" t="n">
        <v>0.04</v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>
        <v>750</v>
      </c>
      <c r="N20" s="1" t="n"/>
      <c r="O20">
        <f>C20-D20*20-E20*0.8-F20*0.6-H20*10+I20*15+J20/200-N20*5</f>
        <v/>
      </c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>
        <f>C21-D21*20-E21*0.8-F21*0.6-H21*10+I21*15+J21/200-N21*5</f>
        <v/>
      </c>
    </row>
    <row r="22">
      <c r="A22" s="1" t="inlineStr">
        <is>
          <t>equinox_ex_mlok_cover</t>
        </is>
      </c>
      <c r="B22" s="1" t="inlineStr">
        <is>
          <t>Arrow AX</t>
        </is>
      </c>
      <c r="C22" s="1" t="n">
        <v>0.75</v>
      </c>
      <c r="D22" s="1" t="n">
        <v>0.03</v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>
        <v>200</v>
      </c>
      <c r="N22" s="1" t="n"/>
      <c r="O22">
        <f>C22-D22*20-E22*0.8-F22*0.6-H22*10+I22*15+J22/200-N22*5</f>
        <v/>
      </c>
    </row>
    <row r="23">
      <c r="A23" s="1" t="inlineStr">
        <is>
          <t>equinox_ex_mlok_cover_flipped</t>
        </is>
      </c>
      <c r="B23" s="1" t="inlineStr">
        <is>
          <t>Arrow AX Flipped</t>
        </is>
      </c>
      <c r="C23" s="1" t="n">
        <v>0.75</v>
      </c>
      <c r="D23" s="1" t="n">
        <v>0.03</v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>
        <v>200</v>
      </c>
      <c r="N23" s="1" t="n"/>
      <c r="O23">
        <f>C23-D23*20-E23*0.8-F23*0.6-H23*10+I23*15+J23/200-N23*5</f>
        <v/>
      </c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>
        <f>C24-D24*20-E24*0.8-F24*0.6-H24*10+I24*15+J24/200-N24*5</f>
        <v/>
      </c>
    </row>
    <row r="25">
      <c r="A25" s="1" t="inlineStr">
        <is>
          <t>magtap_type_1_1slot_mlok_cover</t>
        </is>
      </c>
      <c r="B25" s="1" t="inlineStr">
        <is>
          <t>Magtap Type1 1 Slot MLOK</t>
        </is>
      </c>
      <c r="C25" s="1" t="n">
        <v>0.5</v>
      </c>
      <c r="D25" s="1" t="n">
        <v>0.02</v>
      </c>
      <c r="E25" s="1" t="n"/>
      <c r="F25" s="1" t="n"/>
      <c r="G25" s="1" t="n"/>
      <c r="H25" s="1" t="n"/>
      <c r="I25" s="1" t="n"/>
      <c r="J25" s="1" t="n"/>
      <c r="K25" s="1" t="n"/>
      <c r="L25" s="1" t="n"/>
      <c r="M25" s="1" t="n">
        <v>100</v>
      </c>
      <c r="N25" s="1" t="n"/>
      <c r="O25">
        <f>C25-D25*20-E25*0.8-F25*0.6-H25*10+I25*15+J25/200-N25*5</f>
        <v/>
      </c>
    </row>
    <row r="26">
      <c r="A26" s="1" t="inlineStr">
        <is>
          <t>magtap_type_1_3_slot_mlok_cover</t>
        </is>
      </c>
      <c r="B26" s="1" t="inlineStr">
        <is>
          <t>Magtap Type1 3 Slot MLOK</t>
        </is>
      </c>
      <c r="C26" s="1" t="n">
        <v>1.25</v>
      </c>
      <c r="D26" s="1" t="n">
        <v>0.05</v>
      </c>
      <c r="E26" s="1" t="n"/>
      <c r="F26" s="1" t="n"/>
      <c r="G26" s="1" t="n"/>
      <c r="H26" s="1" t="n"/>
      <c r="I26" s="1" t="n"/>
      <c r="J26" s="1" t="n"/>
      <c r="K26" s="1" t="n"/>
      <c r="L26" s="1" t="n"/>
      <c r="M26" s="1" t="n">
        <v>300</v>
      </c>
      <c r="N26" s="1" t="n"/>
      <c r="O26">
        <f>C26-D26*20-E26*0.8-F26*0.6-H26*10+I26*15+J26/200-N26*5</f>
        <v/>
      </c>
    </row>
    <row r="27">
      <c r="A27" s="1" t="inlineStr">
        <is>
          <t>magtap_type_1_6slot_mlok_cover</t>
        </is>
      </c>
      <c r="B27" s="1" t="inlineStr">
        <is>
          <t>Magtap Type1 6 Slot MLOK</t>
        </is>
      </c>
      <c r="C27" s="1" t="n">
        <v>2.25</v>
      </c>
      <c r="D27" s="1" t="n">
        <v>0.09</v>
      </c>
      <c r="E27" s="1" t="n"/>
      <c r="F27" s="1" t="n"/>
      <c r="G27" s="1" t="n"/>
      <c r="H27" s="1" t="n"/>
      <c r="I27" s="1" t="n"/>
      <c r="J27" s="1" t="n"/>
      <c r="K27" s="1" t="n"/>
      <c r="L27" s="1" t="n"/>
      <c r="M27" s="1" t="n">
        <v>600</v>
      </c>
      <c r="N27" s="1" t="n"/>
      <c r="O27">
        <f>C27-D27*20-E27*0.8-F27*0.6-H27*10+I27*15+J27/200-N27*5</f>
        <v/>
      </c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>
        <f>C28-D28*20-E28*0.8-F28*0.6-H28*10+I28*15+J28/200-N28*5</f>
        <v/>
      </c>
    </row>
    <row r="29">
      <c r="A29" s="1" t="inlineStr">
        <is>
          <t>magtap_type_2_half_mlok_cover</t>
        </is>
      </c>
      <c r="B29" s="1" t="inlineStr">
        <is>
          <t>Magtap Type2 Half Cover</t>
        </is>
      </c>
      <c r="C29" s="1" t="n">
        <v>0.25</v>
      </c>
      <c r="D29" s="1" t="n">
        <v>0.01</v>
      </c>
      <c r="E29" s="1" t="n"/>
      <c r="F29" s="1" t="n"/>
      <c r="G29" s="1" t="n"/>
      <c r="H29" s="1" t="n"/>
      <c r="I29" s="1" t="n"/>
      <c r="J29" s="1" t="n"/>
      <c r="K29" s="1" t="n"/>
      <c r="L29" s="1" t="n"/>
      <c r="M29" s="1" t="n">
        <v>100</v>
      </c>
      <c r="N29" s="1" t="n"/>
      <c r="O29">
        <f>C29-D29*20-E29*0.8-F29*0.6-H29*10+I29*15+J29/200-N29*5</f>
        <v/>
      </c>
    </row>
    <row r="30">
      <c r="A30" s="1" t="inlineStr">
        <is>
          <t>magtap_type_2_mlok_cover</t>
        </is>
      </c>
      <c r="B30" s="1" t="inlineStr">
        <is>
          <t>Magtap Type2 Cover</t>
        </is>
      </c>
      <c r="C30" s="1" t="n">
        <v>0.5</v>
      </c>
      <c r="D30" s="1" t="n">
        <v>0.02</v>
      </c>
      <c r="E30" s="1" t="n"/>
      <c r="F30" s="1" t="n"/>
      <c r="G30" s="1" t="n"/>
      <c r="H30" s="1" t="n"/>
      <c r="I30" s="1" t="n"/>
      <c r="J30" s="1" t="n"/>
      <c r="K30" s="1" t="n"/>
      <c r="L30" s="1" t="n"/>
      <c r="M30" s="1" t="n">
        <v>200</v>
      </c>
      <c r="N30" s="1" t="n"/>
      <c r="O30">
        <f>C30-D30*20-E30*0.8-F30*0.6-H30*10+I30*15+J30/200-N30*5</f>
        <v/>
      </c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>
        <f>C31-D31*20-E31*0.8-F31*0.6-H31*10+I31*15+J31/200-N31*5</f>
        <v/>
      </c>
    </row>
    <row r="32">
      <c r="A32" s="1" t="inlineStr">
        <is>
          <t>ecm_ecmr_1_slot_mlok_rail_panel</t>
        </is>
      </c>
      <c r="B32" s="1" t="inlineStr">
        <is>
          <t>ECM ECMR 1 Slot</t>
        </is>
      </c>
      <c r="C32" s="1" t="n">
        <v>0.25</v>
      </c>
      <c r="D32" s="1" t="n">
        <v>0.01</v>
      </c>
      <c r="E32" s="1" t="n"/>
      <c r="F32" s="1" t="n"/>
      <c r="G32" s="1" t="n"/>
      <c r="H32" s="1" t="n"/>
      <c r="I32" s="1" t="n"/>
      <c r="J32" s="1" t="n"/>
      <c r="K32" s="1" t="n"/>
      <c r="L32" s="1" t="n"/>
      <c r="M32" s="1" t="n">
        <v>200</v>
      </c>
      <c r="N32" s="1" t="n"/>
      <c r="O32">
        <f>C32-D32*20-E32*0.8-F32*0.6-H32*10+I32*15+J32/200-N32*5</f>
        <v/>
      </c>
    </row>
    <row r="33">
      <c r="A33" s="1" t="inlineStr">
        <is>
          <t>ecm_ecmr_3_slot_mlok_rail_panel</t>
        </is>
      </c>
      <c r="B33" s="1" t="inlineStr">
        <is>
          <t>ECM ECMR 3 Slot</t>
        </is>
      </c>
      <c r="C33" s="1" t="n">
        <v>0.75</v>
      </c>
      <c r="D33" s="1" t="n">
        <v>0.03</v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>
        <v>400</v>
      </c>
      <c r="N33" s="1" t="n"/>
      <c r="O33">
        <f>C33-D33*20-E33*0.8-F33*0.6-H33*10+I33*15+J33/200-N33*5</f>
        <v/>
      </c>
    </row>
    <row r="34">
      <c r="A34" s="1" t="inlineStr">
        <is>
          <t>ecm_ecmr_7_slot_mlok_rail_panel</t>
        </is>
      </c>
      <c r="B34" s="1" t="inlineStr">
        <is>
          <t>ECM ECMR 7 Slot</t>
        </is>
      </c>
      <c r="C34" s="1" t="n">
        <v>1.5</v>
      </c>
      <c r="D34" s="1" t="n">
        <v>0.06</v>
      </c>
      <c r="E34" s="1" t="n"/>
      <c r="F34" s="1" t="n"/>
      <c r="G34" s="1" t="n"/>
      <c r="H34" s="1" t="n"/>
      <c r="I34" s="1" t="n"/>
      <c r="J34" s="1" t="n"/>
      <c r="K34" s="1" t="n"/>
      <c r="L34" s="1" t="n"/>
      <c r="M34" s="1" t="n">
        <v>800</v>
      </c>
      <c r="N34" s="1" t="n"/>
      <c r="O34">
        <f>C34-D34*20-E34*0.8-F34*0.6-H34*10+I34*15+J34/200-N34*5</f>
        <v/>
      </c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>
        <f>C35-D35*20-E35*0.8-F35*0.6-H35*10+I35*15+J35/200-N35*5</f>
        <v/>
      </c>
    </row>
    <row r="36">
      <c r="A36" s="1" t="inlineStr">
        <is>
          <t>cgr_klra</t>
        </is>
      </c>
      <c r="B36" s="1" t="inlineStr">
        <is>
          <t>CGR Klra</t>
        </is>
      </c>
      <c r="C36" s="1" t="n">
        <v>0.5</v>
      </c>
      <c r="D36" s="1" t="n">
        <v>0.02</v>
      </c>
      <c r="E36" s="1" t="n"/>
      <c r="F36" s="1" t="n"/>
      <c r="G36" s="1" t="n"/>
      <c r="H36" s="1" t="n"/>
      <c r="I36" s="1" t="n"/>
      <c r="J36" s="1" t="n"/>
      <c r="K36" s="1" t="n"/>
      <c r="L36" s="1" t="n"/>
      <c r="M36" s="1" t="n">
        <v>1000</v>
      </c>
      <c r="N36" s="1" t="n"/>
      <c r="O36">
        <f>C36-D36*20-E36*0.8-F36*0.6-H36*10+I36*15+J36/200-N36*5</f>
        <v/>
      </c>
    </row>
    <row r="37">
      <c r="A37" s="1" t="inlineStr">
        <is>
          <t>cgr_klra_flipped</t>
        </is>
      </c>
      <c r="B37" s="1" t="inlineStr">
        <is>
          <t>CGR Klra Flipped</t>
        </is>
      </c>
      <c r="C37" s="1" t="n">
        <v>0.5</v>
      </c>
      <c r="D37" s="1" t="n">
        <v>0.02</v>
      </c>
      <c r="E37" s="1" t="n"/>
      <c r="F37" s="1" t="n"/>
      <c r="G37" s="1" t="n"/>
      <c r="H37" s="1" t="n"/>
      <c r="I37" s="1" t="n"/>
      <c r="J37" s="1" t="n"/>
      <c r="K37" s="1" t="n"/>
      <c r="L37" s="1" t="n"/>
      <c r="M37" s="1" t="n">
        <v>1000</v>
      </c>
      <c r="N37" s="1" t="n"/>
      <c r="O37">
        <f>C37-D37*20-E37*0.8-F37*0.6-H37*10+I37*15+J37/200-N37*5</f>
        <v/>
      </c>
    </row>
    <row r="38">
      <c r="A38" s="1" t="inlineStr">
        <is>
          <t>cgr_jolly_roger</t>
        </is>
      </c>
      <c r="B38" s="1" t="inlineStr">
        <is>
          <t>CGR Jolly Roger</t>
        </is>
      </c>
      <c r="C38" s="1" t="n">
        <v>0.5</v>
      </c>
      <c r="D38" s="1" t="n">
        <v>0.02</v>
      </c>
      <c r="E38" s="1" t="n"/>
      <c r="F38" s="1" t="n"/>
      <c r="G38" s="1" t="n"/>
      <c r="H38" s="1" t="n"/>
      <c r="I38" s="1" t="n"/>
      <c r="J38" s="1" t="n"/>
      <c r="K38" s="1" t="n"/>
      <c r="L38" s="1" t="n"/>
      <c r="M38" s="1" t="n">
        <v>1000</v>
      </c>
      <c r="N38" s="1" t="n"/>
      <c r="O38">
        <f>C38-D38*20-E38*0.8-F38*0.6-H38*10+I38*15+J38/200-N38*5</f>
        <v/>
      </c>
    </row>
    <row r="39">
      <c r="A39" s="1" t="inlineStr">
        <is>
          <t>cgr_jolly_roger_flipped</t>
        </is>
      </c>
      <c r="B39" s="1" t="inlineStr">
        <is>
          <t>CGR Jolly Roger Flipped</t>
        </is>
      </c>
      <c r="C39" s="1" t="n">
        <v>0.5</v>
      </c>
      <c r="D39" s="1" t="n">
        <v>0.02</v>
      </c>
      <c r="E39" s="1" t="n"/>
      <c r="F39" s="1" t="n"/>
      <c r="G39" s="1" t="n"/>
      <c r="H39" s="1" t="n"/>
      <c r="I39" s="1" t="n"/>
      <c r="J39" s="1" t="n"/>
      <c r="K39" s="1" t="n"/>
      <c r="L39" s="1" t="n"/>
      <c r="M39" s="1" t="n">
        <v>1000</v>
      </c>
      <c r="N39" s="1" t="n"/>
      <c r="O39">
        <f>C39-D39*20-E39*0.8-F39*0.6-H39*10+I39*15+J39/200-N39*5</f>
        <v/>
      </c>
    </row>
    <row r="40">
      <c r="A40" s="1" t="inlineStr">
        <is>
          <t>cgr_ace</t>
        </is>
      </c>
      <c r="B40" s="1" t="inlineStr">
        <is>
          <t>CGR Ace Negev</t>
        </is>
      </c>
      <c r="C40" s="1" t="n">
        <v>0.5</v>
      </c>
      <c r="D40" s="1" t="n">
        <v>0.02</v>
      </c>
      <c r="E40" s="1" t="n"/>
      <c r="F40" s="1" t="n"/>
      <c r="G40" s="1" t="n"/>
      <c r="H40" s="1" t="n"/>
      <c r="I40" s="1" t="n"/>
      <c r="J40" s="1" t="n"/>
      <c r="K40" s="1" t="n"/>
      <c r="L40" s="1" t="n"/>
      <c r="M40" s="1" t="n">
        <v>1000</v>
      </c>
      <c r="N40" s="1" t="n"/>
      <c r="O40">
        <f>C40-D40*20-E40*0.8-F40*0.6-H40*10+I40*15+J40/200-N40*5</f>
        <v/>
      </c>
    </row>
    <row r="41">
      <c r="A41" s="1" t="inlineStr">
        <is>
          <t>cgr_ace_flipped</t>
        </is>
      </c>
      <c r="B41" s="1" t="inlineStr">
        <is>
          <t>CGR Ace Negev Flipped</t>
        </is>
      </c>
      <c r="C41" s="1" t="n">
        <v>0.5</v>
      </c>
      <c r="D41" s="1" t="n">
        <v>0.02</v>
      </c>
      <c r="E41" s="1" t="n"/>
      <c r="F41" s="1" t="n"/>
      <c r="G41" s="1" t="n"/>
      <c r="H41" s="1" t="n"/>
      <c r="I41" s="1" t="n"/>
      <c r="J41" s="1" t="n"/>
      <c r="K41" s="1" t="n"/>
      <c r="L41" s="1" t="n"/>
      <c r="M41" s="1" t="n">
        <v>1000</v>
      </c>
      <c r="N41" s="1" t="n"/>
      <c r="O41">
        <f>C41-D41*20-E41*0.8-F41*0.6-H41*10+I41*15+J41/200-N41*5</f>
        <v/>
      </c>
    </row>
    <row r="42">
      <c r="A42" s="1" t="inlineStr">
        <is>
          <t>cgr_abomination</t>
        </is>
      </c>
      <c r="B42" s="1" t="inlineStr">
        <is>
          <t>CGR Abomination</t>
        </is>
      </c>
      <c r="C42" s="1" t="n">
        <v>0.5</v>
      </c>
      <c r="D42" s="1" t="n">
        <v>0.02</v>
      </c>
      <c r="E42" s="1" t="n"/>
      <c r="F42" s="1" t="n"/>
      <c r="G42" s="1" t="n"/>
      <c r="H42" s="1" t="n"/>
      <c r="I42" s="1" t="n"/>
      <c r="J42" s="1" t="n"/>
      <c r="K42" s="1" t="n"/>
      <c r="L42" s="1" t="n"/>
      <c r="M42" s="1" t="n">
        <v>1000</v>
      </c>
      <c r="N42" s="1" t="n"/>
      <c r="O42">
        <f>C42-D42*20-E42*0.8-F42*0.6-H42*10+I42*15+J42/200-N42*5</f>
        <v/>
      </c>
    </row>
    <row r="43">
      <c r="A43" s="1" t="inlineStr">
        <is>
          <t>cgr_abomination_flipped</t>
        </is>
      </c>
      <c r="B43" s="1" t="inlineStr">
        <is>
          <t>CGR Abomination Flipped</t>
        </is>
      </c>
      <c r="C43" s="1" t="n">
        <v>0.5</v>
      </c>
      <c r="D43" s="1" t="n">
        <v>0.02</v>
      </c>
      <c r="E43" s="1" t="n"/>
      <c r="F43" s="1" t="n"/>
      <c r="G43" s="1" t="n"/>
      <c r="H43" s="1" t="n"/>
      <c r="I43" s="1" t="n"/>
      <c r="J43" s="1" t="n"/>
      <c r="K43" s="1" t="n"/>
      <c r="L43" s="1" t="n"/>
      <c r="M43" s="1" t="n">
        <v>1000</v>
      </c>
      <c r="N43" s="1" t="n"/>
      <c r="O43">
        <f>C43-D43*20-E43*0.8-F43*0.6-H43*10+I43*15+J43/200-N43*5</f>
        <v/>
      </c>
    </row>
    <row r="44">
      <c r="A44" s="1" t="inlineStr">
        <is>
          <t>cgr_punisher</t>
        </is>
      </c>
      <c r="B44" s="1" t="inlineStr">
        <is>
          <t>CGR Punisher</t>
        </is>
      </c>
      <c r="C44" s="1" t="n">
        <v>0.5</v>
      </c>
      <c r="D44" s="1" t="n">
        <v>0.02</v>
      </c>
      <c r="E44" s="1" t="n"/>
      <c r="F44" s="1" t="n"/>
      <c r="G44" s="1" t="n"/>
      <c r="H44" s="1" t="n"/>
      <c r="I44" s="1" t="n"/>
      <c r="J44" s="1" t="n"/>
      <c r="K44" s="1" t="n"/>
      <c r="L44" s="1" t="n"/>
      <c r="M44" s="1" t="n">
        <v>1000</v>
      </c>
      <c r="N44" s="1" t="n"/>
      <c r="O44">
        <f>C44-D44*20-E44*0.8-F44*0.6-H44*10+I44*15+J44/200-N44*5</f>
        <v/>
      </c>
    </row>
    <row r="45">
      <c r="A45" s="1" t="inlineStr">
        <is>
          <t>cgr_punisher_flipped</t>
        </is>
      </c>
      <c r="B45" s="1" t="inlineStr">
        <is>
          <t>CGR Punisher Flipped</t>
        </is>
      </c>
      <c r="C45" s="1" t="n">
        <v>0.5</v>
      </c>
      <c r="D45" s="1" t="n">
        <v>0.02</v>
      </c>
      <c r="E45" s="1" t="n"/>
      <c r="F45" s="1" t="n"/>
      <c r="G45" s="1" t="n"/>
      <c r="H45" s="1" t="n"/>
      <c r="I45" s="1" t="n"/>
      <c r="J45" s="1" t="n"/>
      <c r="K45" s="1" t="n"/>
      <c r="L45" s="1" t="n"/>
      <c r="M45" s="1" t="n">
        <v>1000</v>
      </c>
      <c r="N45" s="1" t="n"/>
      <c r="O45">
        <f>C45-D45*20-E45*0.8-F45*0.6-H45*10+I45*15+J45/200-N45*5</f>
        <v/>
      </c>
    </row>
    <row r="46">
      <c r="A46" s="1" t="inlineStr">
        <is>
          <t>cgr_dingler</t>
        </is>
      </c>
      <c r="B46" s="1" t="inlineStr">
        <is>
          <t>CGR Dingler</t>
        </is>
      </c>
      <c r="C46" s="1" t="n">
        <v>0.5</v>
      </c>
      <c r="D46" s="1" t="n">
        <v>0.02</v>
      </c>
      <c r="E46" s="1" t="n"/>
      <c r="F46" s="1" t="n"/>
      <c r="G46" s="1" t="n"/>
      <c r="H46" s="1" t="n"/>
      <c r="I46" s="1" t="n"/>
      <c r="J46" s="1" t="n"/>
      <c r="K46" s="1" t="n"/>
      <c r="L46" s="1" t="n"/>
      <c r="M46" s="1" t="n">
        <v>1000</v>
      </c>
      <c r="N46" s="1" t="n"/>
      <c r="O46">
        <f>C46-D46*20-E46*0.8-F46*0.6-H46*10+I46*15+J46/200-N46*5</f>
        <v/>
      </c>
    </row>
    <row r="47">
      <c r="A47" s="1" t="inlineStr">
        <is>
          <t>cgr_dingler_flipped</t>
        </is>
      </c>
      <c r="B47" s="1" t="inlineStr">
        <is>
          <t>CGR Dingler Flipped</t>
        </is>
      </c>
      <c r="C47" s="1" t="n">
        <v>0.5</v>
      </c>
      <c r="D47" s="1" t="n">
        <v>0.02</v>
      </c>
      <c r="E47" s="1" t="n"/>
      <c r="F47" s="1" t="n"/>
      <c r="G47" s="1" t="n"/>
      <c r="H47" s="1" t="n"/>
      <c r="I47" s="1" t="n"/>
      <c r="J47" s="1" t="n"/>
      <c r="K47" s="1" t="n"/>
      <c r="L47" s="1" t="n"/>
      <c r="M47" s="1" t="n">
        <v>1000</v>
      </c>
      <c r="N47" s="1" t="n"/>
      <c r="O47">
        <f>C47-D47*20-E47*0.8-F47*0.6-H47*10+I47*15+J47/200-N47*5</f>
        <v/>
      </c>
    </row>
    <row r="48">
      <c r="A48" s="1" t="inlineStr">
        <is>
          <t>cgr_aeon</t>
        </is>
      </c>
      <c r="B48" s="1" t="inlineStr">
        <is>
          <t>CGR Aeon</t>
        </is>
      </c>
      <c r="C48" s="1" t="n">
        <v>0.5</v>
      </c>
      <c r="D48" s="1" t="n">
        <v>0.02</v>
      </c>
      <c r="E48" s="1" t="n"/>
      <c r="F48" s="1" t="n"/>
      <c r="G48" s="1" t="n"/>
      <c r="H48" s="1" t="n"/>
      <c r="I48" s="1" t="n"/>
      <c r="J48" s="1" t="n"/>
      <c r="K48" s="1" t="n"/>
      <c r="L48" s="1" t="n"/>
      <c r="M48" s="1" t="n">
        <v>1000</v>
      </c>
      <c r="N48" s="1" t="n"/>
      <c r="O48">
        <f>C48-D48*20-E48*0.8-F48*0.6-H48*10+I48*15+J48/200-N48*5</f>
        <v/>
      </c>
    </row>
    <row r="49">
      <c r="A49" s="1" t="inlineStr">
        <is>
          <t>cgr_aeon_flipped</t>
        </is>
      </c>
      <c r="B49" s="1" t="inlineStr">
        <is>
          <t>CGR Aeon Flipped</t>
        </is>
      </c>
      <c r="C49" s="1" t="n">
        <v>0.5</v>
      </c>
      <c r="D49" s="1" t="n">
        <v>0.02</v>
      </c>
      <c r="E49" s="1" t="n"/>
      <c r="F49" s="1" t="n"/>
      <c r="G49" s="1" t="n"/>
      <c r="H49" s="1" t="n"/>
      <c r="I49" s="1" t="n"/>
      <c r="J49" s="1" t="n"/>
      <c r="K49" s="1" t="n"/>
      <c r="L49" s="1" t="n"/>
      <c r="M49" s="1" t="n">
        <v>1000</v>
      </c>
      <c r="N49" s="1" t="n"/>
      <c r="O49">
        <f>C49-D49*20-E49*0.8-F49*0.6-H49*10+I49*15+J49/200-N49*5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2024-08-19T23:38:21Z</dcterms:created>
  <dcterms:modified xsi:type="dcterms:W3CDTF">2026-09-29T20:28:26Z</dcterms:modified>
  <cp:lastModifiedBy>Wen, Yifan  (Student)</cp:lastModifiedBy>
</cp:coreProperties>
</file>