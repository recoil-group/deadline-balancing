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rail-pane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00000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2">
    <xf numFmtId="0" fontId="0" fillId="0" borderId="0" pivotButton="0" quotePrefix="0" xfId="0"/>
    <xf numFmtId="0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"/>
  <sheetViews>
    <sheetView tabSelected="1" zoomScale="130" zoomScaleNormal="130" workbookViewId="0">
      <selection activeCell="O3" sqref="O3"/>
    </sheetView>
  </sheetViews>
  <sheetFormatPr baseColWidth="8" defaultColWidth="8.7109375" defaultRowHeight="15"/>
  <cols>
    <col width="27.140625" customWidth="1" min="2" max="2"/>
    <col width="6.7109375" customWidth="1" min="3" max="23"/>
  </cols>
  <sheetData>
    <row r="1">
      <c r="C1" t="inlineStr">
        <is>
          <t>new</t>
        </is>
      </c>
    </row>
    <row r="2">
      <c r="A2" t="inlineStr">
        <is>
          <t>name</t>
        </is>
      </c>
      <c r="B2" t="inlineStr">
        <is>
          <t>pretty_name</t>
        </is>
      </c>
      <c r="C2" t="inlineStr">
        <is>
          <t>ergonomics</t>
        </is>
      </c>
      <c r="D2" t="inlineStr">
        <is>
          <t>weight</t>
        </is>
      </c>
      <c r="E2" t="inlineStr">
        <is>
          <t>horizontal_recoil</t>
        </is>
      </c>
      <c r="F2" t="inlineStr">
        <is>
          <t>vertical_recoil</t>
        </is>
      </c>
      <c r="G2" t="inlineStr">
        <is>
          <t>magazine_capacity</t>
        </is>
      </c>
      <c r="H2" t="inlineStr">
        <is>
          <t>barrel_deviation</t>
        </is>
      </c>
      <c r="I2" t="inlineStr">
        <is>
          <t>bullet_damage</t>
        </is>
      </c>
      <c r="J2" t="inlineStr">
        <is>
          <t>bullet_velocity</t>
        </is>
      </c>
      <c r="K2" t="inlineStr">
        <is>
          <t>buck_barrel_deviation</t>
        </is>
      </c>
      <c r="L2" t="inlineStr">
        <is>
          <t>fire_rate</t>
        </is>
      </c>
      <c r="M2" t="inlineStr">
        <is>
          <t>price</t>
        </is>
      </c>
      <c r="N2" s="1" t="inlineStr">
        <is>
          <t>muzzle_loudness</t>
        </is>
      </c>
      <c r="O2" t="inlineStr">
        <is>
          <t>strength</t>
        </is>
      </c>
    </row>
    <row r="3">
      <c r="A3" s="1" t="inlineStr">
        <is>
          <t>pac_2rib_railpanel</t>
        </is>
      </c>
      <c r="B3" s="1" t="inlineStr">
        <is>
          <t>PAC 2 Rib</t>
        </is>
      </c>
      <c r="C3" s="1" t="n">
        <v>0.66</v>
      </c>
      <c r="D3" s="1" t="n">
        <v>0.02</v>
      </c>
      <c r="E3" s="1" t="n"/>
      <c r="F3" s="1" t="n"/>
      <c r="G3" s="1" t="n"/>
      <c r="H3" s="1" t="n"/>
      <c r="I3" s="1" t="n"/>
      <c r="J3" s="1" t="n"/>
      <c r="K3" s="1" t="n"/>
      <c r="L3" s="1" t="n"/>
      <c r="M3" s="1" t="n">
        <v>100</v>
      </c>
      <c r="N3" s="1" t="n"/>
      <c r="O3">
        <f>C3-D3*20-E3*0.8-F3*0.6-H3*10+I3*15+J3/200-M3*5</f>
        <v/>
      </c>
    </row>
    <row r="4">
      <c r="A4" s="1" t="inlineStr">
        <is>
          <t>pac_4rib_railpanel</t>
        </is>
      </c>
      <c r="B4" s="1" t="inlineStr">
        <is>
          <t>PAC 4 Rib</t>
        </is>
      </c>
      <c r="C4" s="1" t="n">
        <v>1</v>
      </c>
      <c r="D4" s="1" t="n">
        <v>0.03</v>
      </c>
      <c r="E4" s="1" t="n"/>
      <c r="F4" s="1" t="n"/>
      <c r="G4" s="1" t="n"/>
      <c r="H4" s="1" t="n"/>
      <c r="I4" s="1" t="n"/>
      <c r="J4" s="1" t="n"/>
      <c r="K4" s="1" t="n"/>
      <c r="L4" s="1" t="n"/>
      <c r="M4" s="1" t="n">
        <v>200</v>
      </c>
      <c r="N4" s="1" t="n"/>
      <c r="O4">
        <f>C4-D4*20-E4*0.8-F4*0.6-H4*10+I4*15+J4/200-M4*5</f>
        <v/>
      </c>
    </row>
    <row r="5">
      <c r="A5" s="1" t="inlineStr">
        <is>
          <t>pac_5rib_railpanel</t>
        </is>
      </c>
      <c r="B5" s="1" t="inlineStr">
        <is>
          <t>PAC 5 Rib</t>
        </is>
      </c>
      <c r="C5" s="1" t="n">
        <v>1.33</v>
      </c>
      <c r="D5" s="1" t="n">
        <v>0.04</v>
      </c>
      <c r="E5" s="1" t="n"/>
      <c r="F5" s="1" t="n"/>
      <c r="G5" s="1" t="n"/>
      <c r="H5" s="1" t="n"/>
      <c r="I5" s="1" t="n"/>
      <c r="J5" s="1" t="n"/>
      <c r="K5" s="1" t="n"/>
      <c r="L5" s="1" t="n"/>
      <c r="M5" s="1" t="n">
        <v>300</v>
      </c>
      <c r="N5" s="1" t="n"/>
      <c r="O5">
        <f>C5-D5*20-E5*0.8-F5*0.6-H5*10+I5*15+J5/200-M5*5</f>
        <v/>
      </c>
    </row>
    <row r="6">
      <c r="A6" s="1" t="inlineStr">
        <is>
          <t>pac_6rib_railpanel</t>
        </is>
      </c>
      <c r="B6" s="1" t="inlineStr">
        <is>
          <t>PAC 6 Rib</t>
        </is>
      </c>
      <c r="C6" s="1" t="n">
        <v>1.66</v>
      </c>
      <c r="D6" s="1" t="n">
        <v>0.05</v>
      </c>
      <c r="E6" s="1" t="n"/>
      <c r="F6" s="1" t="n"/>
      <c r="G6" s="1" t="n"/>
      <c r="H6" s="1" t="n"/>
      <c r="I6" s="1" t="n"/>
      <c r="J6" s="1" t="n"/>
      <c r="K6" s="1" t="n"/>
      <c r="L6" s="1" t="n"/>
      <c r="M6" s="1" t="n">
        <v>400</v>
      </c>
      <c r="N6" s="1" t="n"/>
      <c r="O6">
        <f>C6-D6*20-E6*0.8-F6*0.6-H6*10+I6*15+J6/200-M6*5</f>
        <v/>
      </c>
    </row>
    <row r="7">
      <c r="A7" s="1" t="inlineStr">
        <is>
          <t>pac_9rib_railpanel</t>
        </is>
      </c>
      <c r="B7" s="1" t="inlineStr">
        <is>
          <t>PAC 9 Rib</t>
        </is>
      </c>
      <c r="C7" s="1" t="n">
        <v>2</v>
      </c>
      <c r="D7" s="1" t="n">
        <v>0.06</v>
      </c>
      <c r="E7" s="1" t="n"/>
      <c r="F7" s="1" t="n"/>
      <c r="G7" s="1" t="n"/>
      <c r="H7" s="1" t="n"/>
      <c r="I7" s="1" t="n"/>
      <c r="J7" s="1" t="n"/>
      <c r="K7" s="1" t="n"/>
      <c r="L7" s="1" t="n"/>
      <c r="M7" s="1" t="n">
        <v>500</v>
      </c>
      <c r="N7" s="1" t="n"/>
      <c r="O7">
        <f>C7-D7*20-E7*0.8-F7*0.6-H7*10+I7*15+J7/200-M7*5</f>
        <v/>
      </c>
    </row>
    <row r="8">
      <c r="A8" s="1" t="inlineStr">
        <is>
          <t>pac_11rib_railpanel</t>
        </is>
      </c>
      <c r="B8" s="1" t="inlineStr">
        <is>
          <t>PAC 11 Rib</t>
        </is>
      </c>
      <c r="C8" s="1" t="n">
        <v>2.33</v>
      </c>
      <c r="D8" s="1" t="n">
        <v>0.07000000000000001</v>
      </c>
      <c r="E8" s="1" t="n"/>
      <c r="F8" s="1" t="n"/>
      <c r="G8" s="1" t="n"/>
      <c r="H8" s="1" t="n"/>
      <c r="I8" s="1" t="n"/>
      <c r="J8" s="1" t="n"/>
      <c r="K8" s="1" t="n"/>
      <c r="L8" s="1" t="n"/>
      <c r="M8" s="1" t="n">
        <v>600</v>
      </c>
      <c r="N8" s="1" t="n"/>
      <c r="O8">
        <f>C8-D8*20-E8*0.8-F8*0.6-H8*10+I8*15+J8/200-M8*5</f>
        <v/>
      </c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>
        <f>C9-D9*20-E9*0.8-F9*0.6-H9*10+I9*15+J9/200-M9*5</f>
        <v/>
      </c>
    </row>
    <row r="10">
      <c r="A10" s="1" t="inlineStr">
        <is>
          <t>magtap_xtm_enhanced_half_panel_1</t>
        </is>
      </c>
      <c r="B10" s="1" t="inlineStr">
        <is>
          <t>Magtap XTM Enhanced Modular Half Panel Piece</t>
        </is>
      </c>
      <c r="C10" s="1" t="n">
        <v>0.33</v>
      </c>
      <c r="D10" s="1" t="n">
        <v>0.01</v>
      </c>
      <c r="E10" s="1" t="n"/>
      <c r="F10" s="1" t="n"/>
      <c r="G10" s="1" t="n"/>
      <c r="H10" s="1" t="n"/>
      <c r="I10" s="1" t="n"/>
      <c r="J10" s="1" t="n"/>
      <c r="K10" s="1" t="n"/>
      <c r="L10" s="1" t="n"/>
      <c r="M10" s="1" t="n">
        <v>50</v>
      </c>
      <c r="N10" s="1" t="n"/>
      <c r="O10">
        <f>C10-D10*20-E10*0.8-F10*0.6-H10*10+I10*15+J10/200-M10*5</f>
        <v/>
      </c>
    </row>
    <row r="11">
      <c r="A11" s="1" t="inlineStr">
        <is>
          <t>magtap_xtm_enhanced_panel_1</t>
        </is>
      </c>
      <c r="B11" s="1" t="inlineStr">
        <is>
          <t>Magtap XTM Enhanced Modular Panel Piece</t>
        </is>
      </c>
      <c r="C11" s="1" t="n">
        <v>0.66</v>
      </c>
      <c r="D11" s="1" t="n">
        <v>0.02</v>
      </c>
      <c r="E11" s="1" t="n"/>
      <c r="F11" s="1" t="n"/>
      <c r="G11" s="1" t="n"/>
      <c r="H11" s="1" t="n"/>
      <c r="I11" s="1" t="n"/>
      <c r="J11" s="1" t="n"/>
      <c r="K11" s="1" t="n"/>
      <c r="L11" s="1" t="n"/>
      <c r="M11" s="1" t="n">
        <v>50</v>
      </c>
      <c r="N11" s="1" t="n"/>
      <c r="O11">
        <f>C11-D11*20-E11*0.8-F11*0.6-H11*10+I11*15+J11/200-M11*5</f>
        <v/>
      </c>
    </row>
    <row r="12">
      <c r="A12" s="1" t="inlineStr">
        <is>
          <t>xtm_2_piece</t>
        </is>
      </c>
      <c r="B12" s="1" t="inlineStr">
        <is>
          <t>Magtap XTM 2-Piece Panel</t>
        </is>
      </c>
      <c r="C12" s="1" t="n">
        <v>1.33</v>
      </c>
      <c r="D12" s="1" t="n">
        <v>0.04</v>
      </c>
      <c r="E12" s="1" t="n"/>
      <c r="F12" s="1" t="n"/>
      <c r="G12" s="1" t="n"/>
      <c r="H12" s="1" t="n"/>
      <c r="I12" s="1" t="n"/>
      <c r="J12" s="1" t="n"/>
      <c r="K12" s="1" t="n"/>
      <c r="L12" s="1" t="n"/>
      <c r="M12" s="1" t="n">
        <v>200</v>
      </c>
      <c r="N12" s="1" t="n"/>
      <c r="O12">
        <f>C12-D12*20-E12*0.8-F12*0.6-H12*10+I12*15+J12/200-M12*5</f>
        <v/>
      </c>
    </row>
    <row r="13">
      <c r="A13" s="1" t="inlineStr">
        <is>
          <t>xtm_4_piece</t>
        </is>
      </c>
      <c r="B13" s="1" t="inlineStr">
        <is>
          <t>Magtap XTM 4-Piece Panel</t>
        </is>
      </c>
      <c r="C13" s="1" t="n">
        <v>2.33</v>
      </c>
      <c r="D13" s="1" t="n">
        <v>0.07000000000000001</v>
      </c>
      <c r="E13" s="1" t="n"/>
      <c r="F13" s="1" t="n"/>
      <c r="G13" s="1" t="n"/>
      <c r="H13" s="1" t="n"/>
      <c r="I13" s="1" t="n"/>
      <c r="J13" s="1" t="n"/>
      <c r="K13" s="1" t="n"/>
      <c r="L13" s="1" t="n"/>
      <c r="M13" s="1" t="n">
        <v>400</v>
      </c>
      <c r="N13" s="1" t="n"/>
      <c r="O13">
        <f>C13-D13*20-E13*0.8-F13*0.6-H13*10+I13*15+J13/200-M13*5</f>
        <v/>
      </c>
    </row>
    <row r="14">
      <c r="A14" t="inlineStr">
        <is>
          <t>magtap_xtm_enhanced_short_handstop_1</t>
        </is>
      </c>
      <c r="B14" t="inlineStr">
        <is>
          <t>Magtap XTM Enhanced Short Handstop Piece</t>
        </is>
      </c>
      <c r="C14" t="n">
        <v>6</v>
      </c>
      <c r="D14" t="n">
        <v>0.02</v>
      </c>
      <c r="E14" t="n">
        <v>0</v>
      </c>
      <c r="F14" t="n">
        <v>-2</v>
      </c>
      <c r="M14" t="n">
        <v>50</v>
      </c>
      <c r="O14">
        <f>C14-D14*20-E14*0.8-F14*0.6-H14*10+I14*15+J14/200-M14*5</f>
        <v/>
      </c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>
        <f>C15-D15*20-E15*0.8-F15*0.6-H15*10+I15*15+J15/200-M15*5</f>
        <v/>
      </c>
    </row>
    <row r="16">
      <c r="A16" s="1" t="inlineStr">
        <is>
          <t>axtell_defense_3inch_picatinny_rail_panel</t>
        </is>
      </c>
      <c r="B16" s="1" t="inlineStr">
        <is>
          <t>Axtell Defense 3 inch Picatinny</t>
        </is>
      </c>
      <c r="C16" s="1" t="n">
        <v>1.33</v>
      </c>
      <c r="D16" s="1" t="n">
        <v>0.04</v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>
        <v>300</v>
      </c>
      <c r="N16" s="1" t="n"/>
      <c r="O16">
        <f>C16-D16*20-E16*0.8-F16*0.6-H16*10+I16*15+J16/200-M16*5</f>
        <v/>
      </c>
    </row>
    <row r="17">
      <c r="A17" s="1" t="inlineStr">
        <is>
          <t>axtell_defense_5inch_picatinny_rail_panel</t>
        </is>
      </c>
      <c r="B17" s="1" t="inlineStr">
        <is>
          <t>Axtell Defense 5 inch Picatinny</t>
        </is>
      </c>
      <c r="C17" s="1" t="n">
        <v>2</v>
      </c>
      <c r="D17" s="1" t="n">
        <v>0.06</v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>
        <v>500</v>
      </c>
      <c r="N17" s="1" t="n"/>
      <c r="O17">
        <f>C17-D17*20-E17*0.8-F17*0.6-H17*10+I17*15+J17/200-M17*5</f>
        <v/>
      </c>
    </row>
    <row r="18">
      <c r="A18" s="1" t="inlineStr">
        <is>
          <t>axtell_defense_7inch_picatinny_rail_panel</t>
        </is>
      </c>
      <c r="B18" s="1" t="inlineStr">
        <is>
          <t>Axtell Defense 7 inch Picatinny</t>
        </is>
      </c>
      <c r="C18" s="1" t="n">
        <v>2.66</v>
      </c>
      <c r="D18" s="1" t="n">
        <v>0.08</v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>
        <v>700</v>
      </c>
      <c r="N18" s="1" t="n"/>
      <c r="O18">
        <f>C18-D18*20-E18*0.8-F18*0.6-H18*10+I18*15+J18/200-M18*5</f>
        <v/>
      </c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>
        <f>C19-D19*20-E19*0.8-F19*0.6-H19*10+I19*15+J19/200-M19*5</f>
        <v/>
      </c>
    </row>
    <row r="20">
      <c r="A20" s="1" t="inlineStr">
        <is>
          <t>veles_npn_2_half_rail_cover</t>
        </is>
      </c>
      <c r="B20" s="1" t="inlineStr">
        <is>
          <t>Veles NPN-2 Half</t>
        </is>
      </c>
      <c r="C20" s="1" t="n">
        <v>0.66</v>
      </c>
      <c r="D20" s="1" t="n">
        <v>0.02</v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1" t="n">
        <v>300</v>
      </c>
      <c r="N20" s="1" t="n"/>
      <c r="O20">
        <f>C20-D20*20-E20*0.8-F20*0.6-H20*10+I20*15+J20/200-M20*5</f>
        <v/>
      </c>
    </row>
    <row r="21">
      <c r="A21" s="1" t="inlineStr">
        <is>
          <t>veles_npn_2_rail_cover</t>
        </is>
      </c>
      <c r="B21" s="1" t="inlineStr">
        <is>
          <t>Veles NPN-2</t>
        </is>
      </c>
      <c r="C21" s="1" t="n">
        <v>1</v>
      </c>
      <c r="D21" s="1" t="n">
        <v>0.03</v>
      </c>
      <c r="E21" s="1" t="n"/>
      <c r="F21" s="1" t="n"/>
      <c r="G21" s="1" t="n"/>
      <c r="H21" s="1" t="n"/>
      <c r="I21" s="1" t="n"/>
      <c r="J21" s="1" t="n"/>
      <c r="K21" s="1" t="n"/>
      <c r="L21" s="1" t="n"/>
      <c r="M21" s="1" t="n">
        <v>750</v>
      </c>
      <c r="N21" s="1" t="n"/>
      <c r="O21">
        <f>C21-D21*20-E21*0.8-F21*0.6-H21*10+I21*15+J21/200-M21*5</f>
        <v/>
      </c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>
        <f>C22-D22*20-E22*0.8-F22*0.6-H22*10+I22*15+J22/200-M22*5</f>
        <v/>
      </c>
    </row>
    <row r="23">
      <c r="A23" s="1" t="inlineStr">
        <is>
          <t>equinox_ex_mlok_cover</t>
        </is>
      </c>
      <c r="B23" s="1" t="inlineStr">
        <is>
          <t>Arrow AX</t>
        </is>
      </c>
      <c r="C23" s="1" t="n">
        <v>0.66</v>
      </c>
      <c r="D23" s="1" t="n">
        <v>0.02</v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>
        <v>100</v>
      </c>
      <c r="N23" s="1" t="n"/>
      <c r="O23">
        <f>C23-D23*20-E23*0.8-F23*0.6-H23*10+I23*15+J23/200-M23*5</f>
        <v/>
      </c>
    </row>
    <row r="24">
      <c r="A24" s="1" t="inlineStr">
        <is>
          <t>equinox_ex_mlok_cover_flipped</t>
        </is>
      </c>
      <c r="B24" s="1" t="inlineStr">
        <is>
          <t>Arrow AX Flipped</t>
        </is>
      </c>
      <c r="C24" s="1" t="n">
        <v>0.66</v>
      </c>
      <c r="D24" s="1" t="n">
        <v>0.02</v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>
        <v>100</v>
      </c>
      <c r="N24" s="1" t="n"/>
      <c r="O24">
        <f>C24-D24*20-E24*0.8-F24*0.6-H24*10+I24*15+J24/200-M24*5</f>
        <v/>
      </c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>
        <f>C25-D25*20-E25*0.8-F25*0.6-H25*10+I25*15+J25/200-M25*5</f>
        <v/>
      </c>
    </row>
    <row r="26">
      <c r="A26" s="1" t="inlineStr">
        <is>
          <t>magtap_type_1_1slot_mlok_cover</t>
        </is>
      </c>
      <c r="B26" s="1" t="inlineStr">
        <is>
          <t>Magtap Type1 1 Slot MLOK</t>
        </is>
      </c>
      <c r="C26" s="1" t="n">
        <v>0.66</v>
      </c>
      <c r="D26" s="1" t="n">
        <v>0.02</v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>
        <v>100</v>
      </c>
      <c r="N26" s="1" t="n"/>
      <c r="O26">
        <f>C26-D26*20-E26*0.8-F26*0.6-H26*10+I26*15+J26/200-M26*5</f>
        <v/>
      </c>
    </row>
    <row r="27">
      <c r="A27" s="1" t="inlineStr">
        <is>
          <t>magtap_type_1_3_slot_mlok_cover</t>
        </is>
      </c>
      <c r="B27" s="1" t="inlineStr">
        <is>
          <t>Magtap Type1 3 Slot MLOK</t>
        </is>
      </c>
      <c r="C27" s="1" t="n">
        <v>1.66</v>
      </c>
      <c r="D27" s="1" t="n">
        <v>0.05</v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>
        <v>300</v>
      </c>
      <c r="N27" s="1" t="n"/>
      <c r="O27">
        <f>C27-D27*20-E27*0.8-F27*0.6-H27*10+I27*15+J27/200-M27*5</f>
        <v/>
      </c>
    </row>
    <row r="28">
      <c r="A28" s="1" t="inlineStr">
        <is>
          <t>magtap_type_1_6slot_mlok_cover</t>
        </is>
      </c>
      <c r="B28" s="1" t="inlineStr">
        <is>
          <t>Magtap Type1 6 Slot MLOK</t>
        </is>
      </c>
      <c r="C28" s="1" t="n">
        <v>3</v>
      </c>
      <c r="D28" s="1" t="n">
        <v>0.09</v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>
        <v>900</v>
      </c>
      <c r="N28" s="1" t="n"/>
      <c r="O28">
        <f>C28-D28*20-E28*0.8-F28*0.6-H28*10+I28*15+J28/200-M28*5</f>
        <v/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>
        <f>C29-D29*20-E29*0.8-F29*0.6-H29*10+I29*15+J29/200-M29*5</f>
        <v/>
      </c>
    </row>
    <row r="30">
      <c r="A30" s="1" t="inlineStr">
        <is>
          <t>magtap_type_2_half_mlok_cover</t>
        </is>
      </c>
      <c r="B30" s="1" t="inlineStr">
        <is>
          <t>Magtap Type2 Half Cover</t>
        </is>
      </c>
      <c r="C30" s="1" t="n">
        <v>0.33</v>
      </c>
      <c r="D30" s="1" t="n">
        <v>0.01</v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>
        <v>100</v>
      </c>
      <c r="N30" s="1" t="n"/>
      <c r="O30">
        <f>C30-D30*20-E30*0.8-F30*0.6-H30*10+I30*15+J30/200-M30*5</f>
        <v/>
      </c>
    </row>
    <row r="31">
      <c r="A31" s="1" t="inlineStr">
        <is>
          <t>magtap_type_2_mlok_cover</t>
        </is>
      </c>
      <c r="B31" s="1" t="inlineStr">
        <is>
          <t>Magtap Type2 Cover</t>
        </is>
      </c>
      <c r="C31" s="1" t="n">
        <v>0.66</v>
      </c>
      <c r="D31" s="1" t="n">
        <v>0.02</v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>
        <v>200</v>
      </c>
      <c r="N31" s="1" t="n"/>
      <c r="O31">
        <f>C31-D31*20-E31*0.8-F31*0.6-H31*10+I31*15+J31/200-M31*5</f>
        <v/>
      </c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>
        <f>C32-D32*20-E32*0.8-F32*0.6-H32*10+I32*15+J32/200-M32*5</f>
        <v/>
      </c>
    </row>
    <row r="33">
      <c r="A33" s="1" t="inlineStr">
        <is>
          <t>ecm_ecmr_1_slot_mlok_rail_panel</t>
        </is>
      </c>
      <c r="B33" s="1" t="inlineStr">
        <is>
          <t>ECM ECMR 1 Slot</t>
        </is>
      </c>
      <c r="C33" s="1" t="n">
        <v>0.33</v>
      </c>
      <c r="D33" s="1" t="n">
        <v>0.01</v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>
        <v>200</v>
      </c>
      <c r="N33" s="1" t="n"/>
      <c r="O33">
        <f>C33-D33*20-E33*0.8-F33*0.6-H33*10+I33*15+J33/200-M33*5</f>
        <v/>
      </c>
    </row>
    <row r="34">
      <c r="A34" s="1" t="inlineStr">
        <is>
          <t>ecm_ecmr_3_slot_mlok_rail_panel</t>
        </is>
      </c>
      <c r="B34" s="1" t="inlineStr">
        <is>
          <t>ECM ECMR 3 Slot</t>
        </is>
      </c>
      <c r="C34" s="1" t="n">
        <v>1</v>
      </c>
      <c r="D34" s="1" t="n">
        <v>0.03</v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>
        <v>600</v>
      </c>
      <c r="N34" s="1" t="n"/>
      <c r="O34">
        <f>C34-D34*20-E34*0.8-F34*0.6-H34*10+I34*15+J34/200-M34*5</f>
        <v/>
      </c>
    </row>
    <row r="35">
      <c r="A35" s="1" t="inlineStr">
        <is>
          <t>ecm_ecmr_7_slot_mlok_rail_panel</t>
        </is>
      </c>
      <c r="B35" s="1" t="inlineStr">
        <is>
          <t>ECM ECMR 7 Slot</t>
        </is>
      </c>
      <c r="C35" s="1" t="n">
        <v>2</v>
      </c>
      <c r="D35" s="1" t="n">
        <v>0.06</v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>
        <v>1000</v>
      </c>
      <c r="N35" s="1" t="n"/>
      <c r="O35">
        <f>C35-D35*20-E35*0.8-F35*0.6-H35*10+I35*15+J35/200-M35*5</f>
        <v/>
      </c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>
        <f>C36-D36*20-E36*0.8-F36*0.6-H36*10+I36*15+J36/200-M36*5</f>
        <v/>
      </c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>
        <f>C37-D37*20-E37*0.8-F37*0.6-H37*10+I37*15+J37/200-M37*5</f>
        <v/>
      </c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>
        <f>C38-D38*20-E38*0.8-F38*0.6-H38*10+I38*15+J38/200-M38*5</f>
        <v/>
      </c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>
        <f>C39-D39*20-E39*0.8-F39*0.6-H39*10+I39*15+J39/200-M39*5</f>
        <v/>
      </c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>
        <f>C40-D40*20-E40*0.8-F40*0.6-H40*10+I40*15+J40/200-M40*5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2024-08-19T23:38:21Z</dcterms:created>
  <dcterms:modified xsi:type="dcterms:W3CDTF">2026-09-29T19:59:31Z</dcterms:modified>
  <cp:lastModifiedBy>Wen, Yifan  (Student)</cp:lastModifiedBy>
</cp:coreProperties>
</file>