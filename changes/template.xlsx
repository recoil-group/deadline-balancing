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m4-barre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tabSelected="1" zoomScale="130" zoomScaleNormal="130" workbookViewId="0">
      <selection activeCell="O3" sqref="O3"/>
    </sheetView>
  </sheetViews>
  <sheetFormatPr baseColWidth="8" defaultColWidth="8.7109375" defaultRowHeight="15"/>
  <cols>
    <col width="27.140625" customWidth="1" min="2" max="2"/>
    <col width="6.7109375" customWidth="1" min="3" max="23"/>
  </cols>
  <sheetData>
    <row r="1">
      <c r="C1" t="inlineStr">
        <is>
          <t>new</t>
        </is>
      </c>
    </row>
    <row r="2">
      <c r="A2" t="inlineStr">
        <is>
          <t>name</t>
        </is>
      </c>
      <c r="B2" t="inlineStr">
        <is>
          <t>pretty_name</t>
        </is>
      </c>
      <c r="C2" t="inlineStr">
        <is>
          <t>ergonomics</t>
        </is>
      </c>
      <c r="D2" t="inlineStr">
        <is>
          <t>weight</t>
        </is>
      </c>
      <c r="E2" t="inlineStr">
        <is>
          <t>horizontal_recoil</t>
        </is>
      </c>
      <c r="F2" t="inlineStr">
        <is>
          <t>vertical_recoil</t>
        </is>
      </c>
      <c r="G2" t="inlineStr">
        <is>
          <t>magazine_capacity</t>
        </is>
      </c>
      <c r="H2" t="inlineStr">
        <is>
          <t>barrel_deviation</t>
        </is>
      </c>
      <c r="I2" t="inlineStr">
        <is>
          <t>bullet_damage</t>
        </is>
      </c>
      <c r="J2" t="inlineStr">
        <is>
          <t>bullet_velocity</t>
        </is>
      </c>
      <c r="K2" t="inlineStr">
        <is>
          <t>buck_barrel_deviation</t>
        </is>
      </c>
      <c r="L2" t="inlineStr">
        <is>
          <t>fire_rate</t>
        </is>
      </c>
      <c r="M2" t="inlineStr">
        <is>
          <t>price</t>
        </is>
      </c>
      <c r="N2" s="1" t="inlineStr">
        <is>
          <t>muzzle_loudness</t>
        </is>
      </c>
      <c r="O2" t="inlineStr">
        <is>
          <t>strength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>
        <f>C3-D3*20-E3*0.8-F3*0.6-H3*10+I3*15+J3/200-N3*5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>
        <f>C4-D4*20-E4*0.8-F4*0.6-H4*10+I4*15+J4/200-N4*5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>
        <f>C5-D5*20-E5*0.8-F5*0.6-H5*10+I5*15+J5/200-N5*5</f>
        <v/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>
        <f>C6-D6*20-E6*0.8-F6*0.6-H6*10+I6*15+J6/200-N6*5</f>
        <v/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>
        <f>C7-D7*20-E7*0.8-F7*0.6-H7*10+I7*15+J7/200-N7*5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>
        <f>C8-D8*20-E8*0.8-F8*0.6-H8*10+I8*15+J8/200-N8*5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>
        <f>C9-D9*20-E9*0.8-F9*0.6-H9*10+I9*15+J9/200-N9*5</f>
        <v/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>
        <f>C10-D10*20-E10*0.8-F10*0.6-H10*10+I10*15+J10/200-N10*5</f>
        <v/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>
        <f>C11-D11*20-E11*0.8-F11*0.6-H11*10+I11*15+J11/200-N11*5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>
        <f>C12-D12*20-E12*0.8-F12*0.6-H12*10+I12*15+J12/200-N12*5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>
        <f>C13-D13*20-E13*0.8-F13*0.6-H13*10+I13*15+J13/200-N13*5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>
        <f>C14-D14*20-E14*0.8-F14*0.6-H14*10+I14*15+J14/200-N14*5</f>
        <v/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>
        <f>C15-D15*20-E15*0.8-F15*0.6-H15*10+I15*15+J15/200-N15*5</f>
        <v/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>
        <f>C16-D16*20-E16*0.8-F16*0.6-H16*10+I16*15+J16/200-N16*5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>
        <f>C17-D17*20-E17*0.8-F17*0.6-H17*10+I17*15+J17/200-N17*5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>
        <f>C18-D18*20-E18*0.8-F18*0.6-H18*10+I18*15+J18/200-N18*5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>
        <f>C19-D19*20-E19*0.8-F19*0.6-H19*10+I19*15+J19/200-N19*5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>
        <f>C20-D20*20-E20*0.8-F20*0.6-H20*10+I20*15+J20/200-N20*5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>
        <f>C21-D21*20-E21*0.8-F21*0.6-H21*10+I21*15+J21/200-N21*5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>
        <f>C22-D22*20-E22*0.8-F22*0.6-H22*10+I22*15+J22/200-N22*5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>
        <f>C23-D23*20-E23*0.8-F23*0.6-H23*10+I23*15+J23/200-N23*5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>
        <f>C24-D24*20-E24*0.8-F24*0.6-H24*10+I24*15+J24/200-N24*5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>
        <f>C25-D25*20-E25*0.8-F25*0.6-H25*10+I25*15+J25/200-N25*5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>
        <f>C26-D26*20-E26*0.8-F26*0.6-H26*10+I26*15+J26/200-N26*5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>
        <f>C27-D27*20-E27*0.8-F27*0.6-H27*10+I27*15+J27/200-N27*5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>
        <f>C28-D28*20-E28*0.8-F28*0.6-H28*10+I28*15+J28/200-N28*5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>
        <f>C29-D29*20-E29*0.8-F29*0.6-H29*10+I29*15+J29/200-N29*5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>
        <f>C30-D30*20-E30*0.8-F30*0.6-H30*10+I30*15+J30/200-N30*5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>
        <f>C31-D31*20-E31*0.8-F31*0.6-H31*10+I31*15+J31/200-N31*5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>
        <f>C32-D32*20-E32*0.8-F32*0.6-H32*10+I32*15+J32/200-N32*5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>
        <f>C33-D33*20-E33*0.8-F33*0.6-H33*10+I33*15+J33/200-N33*5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>
        <f>C34-D34*20-E34*0.8-F34*0.6-H34*10+I34*15+J34/200-N34*5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>
        <f>C35-D35*20-E35*0.8-F35*0.6-H35*10+I35*15+J35/200-N35*5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>
        <f>C36-D36*20-E36*0.8-F36*0.6-H36*10+I36*15+J36/200-N36*5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>
        <f>C37-D37*20-E37*0.8-F37*0.6-H37*10+I37*15+J37/200-N37*5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>
        <f>C38-D38*20-E38*0.8-F38*0.6-H38*10+I38*15+J38/200-N38*5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>
        <f>C39-D39*20-E39*0.8-F39*0.6-H39*10+I39*15+J39/200-N39*5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2024-08-19T23:38:21Z</dcterms:created>
  <dcterms:modified xsi:type="dcterms:W3CDTF">2026-09-29T20:11:04Z</dcterms:modified>
  <cp:lastModifiedBy>Wen, Yifan  (Student)</cp:lastModifiedBy>
</cp:coreProperties>
</file>